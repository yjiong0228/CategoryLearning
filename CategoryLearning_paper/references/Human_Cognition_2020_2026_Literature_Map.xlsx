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cde8e1ffda42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阅读导航" sheetId="1" r:id="Rd44f629678b3429b"/>
    <x:sheet xmlns:r="http://schemas.openxmlformats.org/officeDocument/2006/relationships" name="主要期刊" sheetId="2" r:id="R59e04a96afa84044"/>
    <x:sheet xmlns:r="http://schemas.openxmlformats.org/officeDocument/2006/relationships" name="补充期刊" sheetId="3" r:id="R09f3fe4cfe08478c"/>
    <x:sheet xmlns:r="http://schemas.openxmlformats.org/officeDocument/2006/relationships" name="早期背景" sheetId="4" r:id="Rabd37a94d2ae49b6"/>
    <x:sheet xmlns:r="http://schemas.openxmlformats.org/officeDocument/2006/relationships" name="故事拆解" sheetId="5" r:id="R4a8289cca94648de"/>
    <x:sheet xmlns:r="http://schemas.openxmlformats.org/officeDocument/2006/relationships" name="检索口径" sheetId="6" r:id="Re40729b0f32642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sz val="10"/>
      <x:name val="Noto Sans CJK SC"/>
    </x:font>
    <x:font>
      <x:b/>
      <x:sz val="20"/>
      <x:color rgb="FFFFFFFF"/>
      <x:name val="Noto Sans CJK SC"/>
    </x:font>
    <x:font>
      <x:sz val="10"/>
      <x:color rgb="FF475569"/>
      <x:name val="Noto Sans CJK SC"/>
    </x:font>
    <x:font>
      <x:b/>
      <x:sz val="10"/>
      <x:color rgb="FFFFFFFF"/>
      <x:name val="Noto Sans CJK SC"/>
    </x:font>
    <x:font>
      <x:b/>
      <x:sz val="10"/>
      <x:color rgb="FF235B74"/>
      <x:name val="Noto Sans CJK SC"/>
    </x:font>
    <x:font>
      <x:sz val="10"/>
      <x:color rgb="FF126FAD"/>
      <x:name val="Noto Sans CJK SC"/>
    </x:font>
    <x:font>
      <x:sz val="11"/>
      <x:name val="Noto Sans CJK SC"/>
    </x:font>
    <x:font>
      <x:b/>
      <x:sz val="11"/>
      <x:color rgb="FFFFFFFF"/>
      <x:name val="Noto Sans CJK SC"/>
    </x:font>
    <x:font>
      <x:b/>
      <x:sz val="21"/>
      <x:color rgb="FFFFFFFF"/>
      <x:name val="Noto Sans CJK SC"/>
    </x:font>
    <x:font>
      <x:b/>
      <x:sz val="11"/>
      <x:color rgb="FF235B74"/>
      <x:name val="Noto Sans CJK SC"/>
    </x:font>
    <x:font>
      <x:b/>
      <x:sz val="28"/>
      <x:color rgb="FF16324F"/>
      <x:name val="Noto Sans CJK SC"/>
    </x:font>
    <x:font>
      <x:b/>
      <x:sz val="11"/>
      <x:color rgb="FF15634A"/>
      <x:name val="Noto Sans CJK SC"/>
    </x:font>
    <x:font>
      <x:sz val="11"/>
      <x:color rgb="FF7C5918"/>
      <x:name val="Noto Sans CJK SC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EF3F7"/>
      </x:patternFill>
    </x:fill>
    <x:fill>
      <x:patternFill patternType="solid">
        <x:fgColor rgb="FF235B74"/>
      </x:patternFill>
    </x:fill>
    <x:fill>
      <x:patternFill patternType="solid">
        <x:fgColor rgb="FFEAF1F6"/>
      </x:patternFill>
    </x:fill>
    <x:fill>
      <x:patternFill patternType="solid">
        <x:fgColor rgb="FFF3F7FA"/>
      </x:patternFill>
    </x:fill>
    <x:fill>
      <x:patternFill patternType="solid">
        <x:fgColor rgb="FFF0F5F8"/>
      </x:patternFill>
    </x:fill>
    <x:fill>
      <x:patternFill patternType="solid">
        <x:fgColor rgb="FFE6F3EE"/>
      </x:patternFill>
    </x:fill>
    <x:fill>
      <x:patternFill patternType="solid">
        <x:fgColor rgb="FFFFF4DF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 wrapText="1"/>
    </x:xf>
    <x:xf numFmtId="0" fontId="9" fillId="2" borderId="1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10" fillId="5" borderId="1" xfId="0" applyNumberFormat="1" applyFont="1" applyFill="1" applyBorder="1" applyAlignment="1">
      <x:alignment vertical="center" wrapText="1"/>
    </x:xf>
    <x:xf numFmtId="0" fontId="10" fillId="5" borderId="1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11" fillId="6" borderId="1" xfId="0" applyNumberFormat="1" applyFont="1" applyFill="1" applyBorder="1" applyAlignment="1">
      <x:alignment vertical="center" wrapText="1"/>
    </x:xf>
    <x:xf numFmtId="0" fontId="11" fillId="6" borderId="1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12" fillId="8" borderId="0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12" fillId="8" borderId="1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13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5634A"/>
      </x:font>
      <x:fill>
        <x:patternFill patternType="solid">
          <x:bgColor rgb="FFE6F3EE"/>
        </x:patternFill>
      </x:fill>
    </x:dxf>
    <x:dxf>
      <x:font>
        <x:b/>
        <x:color rgb="FF15634A"/>
      </x:font>
      <x:fill>
        <x:patternFill patternType="solid">
          <x:bgColor rgb="FFE6F3EE"/>
        </x:patternFill>
      </x:fill>
    </x:dxf>
    <x:dxf>
      <x:font>
        <x:b/>
        <x:color rgb="FF15634A"/>
      </x:font>
      <x:fill>
        <x:patternFill patternType="solid">
          <x:bgColor rgb="FFE6F3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4b37dbf0894a8e" /><Relationship Type="http://schemas.openxmlformats.org/officeDocument/2006/relationships/theme" Target="/xl/theme/theme1.xml" Id="R7445049a3a8e4979" /><Relationship Type="http://schemas.openxmlformats.org/officeDocument/2006/relationships/sharedStrings" Target="/xl/sharedStrings.xml" Id="R742924b8f4a34ddb" /><Relationship Type="http://schemas.openxmlformats.org/officeDocument/2006/relationships/worksheet" Target="/xl/worksheets/sheet1.xml" Id="Rd44f629678b3429b" /><Relationship Type="http://schemas.openxmlformats.org/officeDocument/2006/relationships/worksheet" Target="/xl/worksheets/sheet2.xml" Id="R59e04a96afa84044" /><Relationship Type="http://schemas.openxmlformats.org/officeDocument/2006/relationships/worksheet" Target="/xl/worksheets/sheet3.xml" Id="R09f3fe4cfe08478c" /><Relationship Type="http://schemas.openxmlformats.org/officeDocument/2006/relationships/worksheet" Target="/xl/worksheets/sheet4.xml" Id="Rabd37a94d2ae49b6" /><Relationship Type="http://schemas.openxmlformats.org/officeDocument/2006/relationships/worksheet" Target="/xl/worksheets/sheet5.xml" Id="R4a8289cca94648de" /><Relationship Type="http://schemas.openxmlformats.org/officeDocument/2006/relationships/worksheet" Target="/xl/worksheets/sheet6.xml" Id="Re40729b0f3264230" /></Relationships>
</file>

<file path=xl/tables/table1.xml><?xml version="1.0" encoding="utf-8"?>
<x:table xmlns:x="http://schemas.openxmlformats.org/spreadsheetml/2006/main" id="1" name="MainPapers" displayName="MainPapers" ref="A4:R55" headerRowCount="1" totalsRowCount="0" totalsRowShown="0">
  <x:tableColumns count="18">
    <x:tableColumn id="1" name="编号"/>
    <x:tableColumn id="2" name="正式题名"/>
    <x:tableColumn id="3" name="发表年份（优先在线）"/>
    <x:tableColumn id="4" name="期刊"/>
    <x:tableColumn id="5" name="作者"/>
    <x:tableColumn id="6" name="主题"/>
    <x:tableColumn id="7" name="证据构成"/>
    <x:tableColumn id="8" name="实验任务与操纵"/>
    <x:tableColumn id="9" name="计算模型"/>
    <x:tableColumn id="10" name="主要发现"/>
    <x:tableColumn id="11" name="故事逻辑／可借鉴点"/>
    <x:tableColumn id="12" name="证据边界"/>
    <x:tableColumn id="13" name="样本与测量规模（已核实部分）"/>
    <x:tableColumn id="14" name="阅读优先级"/>
    <x:tableColumn id="15" name="本次核实深度"/>
    <x:tableColumn id="16" name="DOI"/>
    <x:tableColumn id="17" name="原始来源网址"/>
    <x:tableColumn id="18" name="阅读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condaryPapers" displayName="SecondaryPapers" ref="A4:R12" headerRowCount="1" totalsRowCount="0" totalsRowShown="0">
  <x:tableColumns count="18">
    <x:tableColumn id="1" name="编号"/>
    <x:tableColumn id="2" name="正式题名"/>
    <x:tableColumn id="3" name="发表年份（优先在线）"/>
    <x:tableColumn id="4" name="期刊"/>
    <x:tableColumn id="5" name="作者"/>
    <x:tableColumn id="6" name="主题"/>
    <x:tableColumn id="7" name="证据构成"/>
    <x:tableColumn id="8" name="实验任务与操纵"/>
    <x:tableColumn id="9" name="计算模型"/>
    <x:tableColumn id="10" name="主要发现"/>
    <x:tableColumn id="11" name="故事逻辑／可借鉴点"/>
    <x:tableColumn id="12" name="证据边界"/>
    <x:tableColumn id="13" name="样本与测量规模（已核实部分）"/>
    <x:tableColumn id="14" name="阅读优先级"/>
    <x:tableColumn id="15" name="本次核实深度"/>
    <x:tableColumn id="16" name="DOI"/>
    <x:tableColumn id="17" name="原始来源网址"/>
    <x:tableColumn id="18" name="阅读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ckgroundPapers" displayName="BackgroundPapers" ref="A4:R8" headerRowCount="1" totalsRowCount="0" totalsRowShown="0">
  <x:tableColumns count="18">
    <x:tableColumn id="1" name="编号"/>
    <x:tableColumn id="2" name="正式题名"/>
    <x:tableColumn id="3" name="发表年份（优先在线）"/>
    <x:tableColumn id="4" name="期刊"/>
    <x:tableColumn id="5" name="作者"/>
    <x:tableColumn id="6" name="主题"/>
    <x:tableColumn id="7" name="证据构成"/>
    <x:tableColumn id="8" name="实验任务与操纵"/>
    <x:tableColumn id="9" name="计算模型"/>
    <x:tableColumn id="10" name="主要发现"/>
    <x:tableColumn id="11" name="故事逻辑／可借鉴点"/>
    <x:tableColumn id="12" name="证据边界"/>
    <x:tableColumn id="13" name="样本与测量规模（已核实部分）"/>
    <x:tableColumn id="14" name="阅读优先级"/>
    <x:tableColumn id="15" name="本次核实深度"/>
    <x:tableColumn id="16" name="DOI"/>
    <x:tableColumn id="17" name="原始来源网址"/>
    <x:tableColumn id="18" name="阅读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oryPatterns" displayName="StoryPatterns" ref="A4:H16" headerRowCount="1" totalsRowCount="0" totalsRowShown="0">
  <x:tableColumns count="8">
    <x:tableColumn id="1" name="对应编号"/>
    <x:tableColumn id="2" name="故事类型"/>
    <x:tableColumn id="3" name="被挑战的默认解释"/>
    <x:tableColumn id="4" name="关键实验／诊断证据"/>
    <x:tableColumn id="5" name="模型不可替代的作用"/>
    <x:tableColumn id="6" name="写作与设计借鉴"/>
    <x:tableColumn id="7" name="不可越过的证据边界"/>
    <x:tableColumn id="8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959ccee2f74d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469270871f44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8176821e3a49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47f16948e145bd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2" customHeight="1">
      <x:c r="A1" s="39" t="str">
        <x:v>人类认知实验 × 计算建模
2020—2026 文献与故事地图</x:v>
      </x:c>
      <x:c r="B1" s="39"/>
      <x:c r="C1" s="39"/>
      <x:c r="D1" s="39"/>
      <x:c r="E1" s="39"/>
      <x:c r="F1" s="39"/>
      <x:c r="G1" s="39"/>
      <x:c r="H1" s="39"/>
    </x:row>
    <x:row r="2" ht="32" customHeight="1">
      <x:c r="A2" s="39"/>
      <x:c r="B2" s="39"/>
      <x:c r="C2" s="39"/>
      <x:c r="D2" s="39"/>
      <x:c r="E2" s="39"/>
      <x:c r="F2" s="39"/>
      <x:c r="G2" s="39"/>
      <x:c r="H2" s="39"/>
    </x:row>
    <x:row r="3">
      <x:c r="A3" s="36"/>
      <x:c r="B3" s="36"/>
      <x:c r="C3" s="36"/>
      <x:c r="D3" s="36"/>
      <x:c r="E3" s="36"/>
      <x:c r="F3" s="36"/>
      <x:c r="G3" s="36"/>
      <x:c r="H3" s="36"/>
    </x:row>
    <x:row r="4">
      <x:c r="A4" s="44" t="str">
        <x:v>主要期刊</x:v>
      </x:c>
      <x:c r="B4" s="44"/>
      <x:c r="C4" s="44" t="str">
        <x:v>补充核心</x:v>
      </x:c>
      <x:c r="D4" s="44"/>
      <x:c r="E4" s="44" t="str">
        <x:v>边界参考</x:v>
      </x:c>
      <x:c r="F4" s="44"/>
      <x:c r="G4" s="44" t="str">
        <x:v>早期背景</x:v>
      </x:c>
      <x:c r="H4" s="44"/>
    </x:row>
    <x:row r="5" ht="25" customHeight="1">
      <x:c r="A5" s="50" t="n">
        <x:f>COUNTA('主要期刊'!A5:A55)</x:f>
        <x:v>51</x:v>
      </x:c>
      <x:c r="B5" s="50"/>
      <x:c r="C5" s="50" t="n">
        <x:f>COUNTA('补充期刊'!A5:A12)-COUNTIF('补充期刊'!F5:F12,"边界：叙事参考")</x:f>
        <x:v>7</x:v>
      </x:c>
      <x:c r="D5" s="50"/>
      <x:c r="E5" s="50" t="n">
        <x:f>COUNTIF('补充期刊'!F5:F12,"边界：叙事参考")</x:f>
        <x:v>1</x:v>
      </x:c>
      <x:c r="F5" s="50"/>
      <x:c r="G5" s="50" t="n">
        <x:f>COUNTA('早期背景'!A5:A8)</x:f>
        <x:v>4</x:v>
      </x:c>
      <x:c r="H5" s="50"/>
    </x:row>
    <x:row r="6" ht="25" customHeight="1">
      <x:c r="A6" s="50"/>
      <x:c r="B6" s="50"/>
      <x:c r="C6" s="50"/>
      <x:c r="D6" s="50"/>
      <x:c r="E6" s="50"/>
      <x:c r="F6" s="50"/>
      <x:c r="G6" s="50"/>
      <x:c r="H6" s="50"/>
    </x:row>
    <x:row r="7">
      <x:c r="A7" s="36"/>
      <x:c r="B7" s="36"/>
      <x:c r="C7" s="36"/>
      <x:c r="D7" s="36"/>
      <x:c r="E7" s="36"/>
      <x:c r="F7" s="36"/>
      <x:c r="G7" s="36"/>
      <x:c r="H7" s="36"/>
    </x:row>
    <x:row r="8" ht="26" customHeight="1">
      <x:c r="A8" s="55" t="str">
        <x:v>主题入口｜编号与正文及故事拆解对应</x:v>
      </x:c>
      <x:c r="B8" s="55"/>
      <x:c r="C8" s="55"/>
      <x:c r="D8" s="55"/>
      <x:c r="E8" s="55"/>
      <x:c r="F8" s="55"/>
      <x:c r="G8" s="55"/>
      <x:c r="H8" s="55"/>
    </x:row>
    <x:row r="9" ht="28" customHeight="1">
      <x:c r="A9" s="58" t="str">
        <x:v>A</x:v>
      </x:c>
      <x:c r="B9" s="58" t="str">
        <x:v>表征、抽象与泛化</x:v>
      </x:c>
      <x:c r="C9" s="58"/>
      <x:c r="D9" s="58"/>
      <x:c r="E9" s="58"/>
      <x:c r="F9" s="58"/>
      <x:c r="G9" s="58" t="n">
        <x:f>COUNTIF('主要期刊'!F5:F55,"表征、抽象与泛化")</x:f>
        <x:v>12</x:v>
      </x:c>
      <x:c r="H9" s="58"/>
    </x:row>
    <x:row r="10" ht="28" customHeight="1">
      <x:c r="A10" s="36" t="str">
        <x:v>B</x:v>
      </x:c>
      <x:c r="B10" s="36" t="str">
        <x:v>规划、推理与探索</x:v>
      </x:c>
      <x:c r="C10" s="36"/>
      <x:c r="D10" s="36"/>
      <x:c r="E10" s="36"/>
      <x:c r="F10" s="36"/>
      <x:c r="G10" s="36" t="n">
        <x:f>COUNTIF('主要期刊'!F5:F55,"规划、推理与探索")</x:f>
        <x:v>10</x:v>
      </x:c>
      <x:c r="H10" s="36"/>
    </x:row>
    <x:row r="11" ht="28" customHeight="1">
      <x:c r="A11" s="58" t="str">
        <x:v>C</x:v>
      </x:c>
      <x:c r="B11" s="58" t="str">
        <x:v>奖励学习、决策偏差与记忆</x:v>
      </x:c>
      <x:c r="C11" s="58"/>
      <x:c r="D11" s="58"/>
      <x:c r="E11" s="58"/>
      <x:c r="F11" s="58"/>
      <x:c r="G11" s="58" t="n">
        <x:f>COUNTIF('主要期刊'!F5:F55,"奖励学习、决策偏差与记忆")</x:f>
        <x:v>10</x:v>
      </x:c>
      <x:c r="H11" s="58"/>
    </x:row>
    <x:row r="12" ht="28" customHeight="1">
      <x:c r="A12" s="36" t="str">
        <x:v>D</x:v>
      </x:c>
      <x:c r="B12" s="36" t="str">
        <x:v>元认知与个体/状态差异</x:v>
      </x:c>
      <x:c r="C12" s="36"/>
      <x:c r="D12" s="36"/>
      <x:c r="E12" s="36"/>
      <x:c r="F12" s="36"/>
      <x:c r="G12" s="36" t="n">
        <x:f>COUNTIF('主要期刊'!F5:F55,"元认知与个体/状态差异")</x:f>
        <x:v>5</x:v>
      </x:c>
      <x:c r="H12" s="36"/>
    </x:row>
    <x:row r="13" ht="28" customHeight="1">
      <x:c r="A13" s="58" t="str">
        <x:v>E</x:v>
      </x:c>
      <x:c r="B13" s="58" t="str">
        <x:v>社会学习、教学与社会决策</x:v>
      </x:c>
      <x:c r="C13" s="58"/>
      <x:c r="D13" s="58"/>
      <x:c r="E13" s="58"/>
      <x:c r="F13" s="58"/>
      <x:c r="G13" s="58" t="n">
        <x:f>COUNTIF('主要期刊'!F5:F55,"社会学习、教学与社会决策")</x:f>
        <x:v>9</x:v>
      </x:c>
      <x:c r="H13" s="58"/>
    </x:row>
    <x:row r="14" ht="28" customHeight="1">
      <x:c r="A14" s="36" t="str">
        <x:v>F</x:v>
      </x:c>
      <x:c r="B14" s="36" t="str">
        <x:v>以模型发现为核心的研究</x:v>
      </x:c>
      <x:c r="C14" s="36"/>
      <x:c r="D14" s="36"/>
      <x:c r="E14" s="36"/>
      <x:c r="F14" s="36"/>
      <x:c r="G14" s="36" t="n">
        <x:f>COUNTIF('主要期刊'!F5:F55,"以模型发现为核心的研究")</x:f>
        <x:v>5</x:v>
      </x:c>
      <x:c r="H14" s="36"/>
    </x:row>
    <x:row r="15">
      <x:c r="A15" s="36"/>
      <x:c r="B15" s="36"/>
      <x:c r="C15" s="36"/>
      <x:c r="D15" s="36"/>
      <x:c r="E15" s="36"/>
      <x:c r="F15" s="36"/>
      <x:c r="G15" s="36"/>
      <x:c r="H15" s="36"/>
    </x:row>
    <x:row r="16" ht="44" customHeight="1">
      <x:c r="A16" s="61" t="str">
        <x:v>优先精读：A01、A02、A08、A09、C03、C04、D02、E01、E04、F05。</x:v>
      </x:c>
      <x:c r="B16" s="61"/>
      <x:c r="C16" s="61"/>
      <x:c r="D16" s="61"/>
      <x:c r="E16" s="61"/>
      <x:c r="F16" s="61"/>
      <x:c r="G16" s="61"/>
      <x:c r="H16" s="61"/>
    </x:row>
    <x:row r="17">
      <x:c r="A17" s="36"/>
      <x:c r="B17" s="36"/>
      <x:c r="C17" s="36"/>
      <x:c r="D17" s="36"/>
      <x:c r="E17" s="36"/>
      <x:c r="F17" s="36"/>
      <x:c r="G17" s="36"/>
      <x:c r="H17" s="36"/>
    </x:row>
    <x:row r="18" ht="28" customHeight="1">
      <x:c r="A18" s="55" t="str">
        <x:v>主要期刊覆盖｜这是本表数量，不是期刊发文总量</x:v>
      </x:c>
      <x:c r="B18" s="55"/>
      <x:c r="C18" s="55"/>
      <x:c r="D18" s="55"/>
      <x:c r="E18" s="55"/>
      <x:c r="F18" s="55"/>
      <x:c r="G18" s="55"/>
      <x:c r="H18" s="55"/>
    </x:row>
    <x:row r="19" ht="25" customHeight="1">
      <x:c r="A19" s="36" t="str">
        <x:v>Nature</x:v>
      </x:c>
      <x:c r="B19" s="36"/>
      <x:c r="C19" s="36"/>
      <x:c r="D19" s="36"/>
      <x:c r="E19" s="36"/>
      <x:c r="F19" s="36"/>
      <x:c r="G19" s="36" t="n">
        <x:f>COUNTIF('主要期刊'!D5:D55,"Nature")</x:f>
        <x:v>6</x:v>
      </x:c>
      <x:c r="H19" s="36"/>
    </x:row>
    <x:row r="20" ht="25" customHeight="1">
      <x:c r="A20" s="36" t="str">
        <x:v>PNAS</x:v>
      </x:c>
      <x:c r="B20" s="36"/>
      <x:c r="C20" s="36"/>
      <x:c r="D20" s="36"/>
      <x:c r="E20" s="36"/>
      <x:c r="F20" s="36"/>
      <x:c r="G20" s="36" t="n">
        <x:f>COUNTIF('主要期刊'!D5:D55,"PNAS")</x:f>
        <x:v>4</x:v>
      </x:c>
      <x:c r="H20" s="36"/>
    </x:row>
    <x:row r="21" ht="25" customHeight="1">
      <x:c r="A21" s="36" t="str">
        <x:v>Nature Human Behaviour</x:v>
      </x:c>
      <x:c r="B21" s="36"/>
      <x:c r="C21" s="36"/>
      <x:c r="D21" s="36"/>
      <x:c r="E21" s="36"/>
      <x:c r="F21" s="36"/>
      <x:c r="G21" s="36" t="n">
        <x:f>COUNTIF('主要期刊'!D5:D55,"Nature Human Behaviour")</x:f>
        <x:v>15</x:v>
      </x:c>
      <x:c r="H21" s="36"/>
    </x:row>
    <x:row r="22" ht="25" customHeight="1">
      <x:c r="A22" s="36" t="str">
        <x:v>Neuron</x:v>
      </x:c>
      <x:c r="B22" s="36"/>
      <x:c r="C22" s="36"/>
      <x:c r="D22" s="36"/>
      <x:c r="E22" s="36"/>
      <x:c r="F22" s="36"/>
      <x:c r="G22" s="36" t="n">
        <x:f>COUNTIF('主要期刊'!D5:D55,"Neuron")</x:f>
        <x:v>3</x:v>
      </x:c>
      <x:c r="H22" s="36"/>
    </x:row>
    <x:row r="23" ht="25" customHeight="1">
      <x:c r="A23" s="36" t="str">
        <x:v>Nature Communications</x:v>
      </x:c>
      <x:c r="B23" s="36"/>
      <x:c r="C23" s="36"/>
      <x:c r="D23" s="36"/>
      <x:c r="E23" s="36"/>
      <x:c r="F23" s="36"/>
      <x:c r="G23" s="36" t="n">
        <x:f>COUNTIF('主要期刊'!D5:D55,"Nature Communications")</x:f>
        <x:v>8</x:v>
      </x:c>
      <x:c r="H23" s="36"/>
    </x:row>
    <x:row r="24" ht="25" customHeight="1">
      <x:c r="A24" s="36" t="str">
        <x:v>eLife</x:v>
      </x:c>
      <x:c r="B24" s="36"/>
      <x:c r="C24" s="36"/>
      <x:c r="D24" s="36"/>
      <x:c r="E24" s="36"/>
      <x:c r="F24" s="36"/>
      <x:c r="G24" s="36" t="n">
        <x:f>COUNTIF('主要期刊'!D5:D55,"eLife")</x:f>
        <x:v>5</x:v>
      </x:c>
      <x:c r="H24" s="36"/>
    </x:row>
    <x:row r="25" ht="25" customHeight="1">
      <x:c r="A25" s="36" t="str">
        <x:v>Nature Neuroscience</x:v>
      </x:c>
      <x:c r="B25" s="36"/>
      <x:c r="C25" s="36"/>
      <x:c r="D25" s="36"/>
      <x:c r="E25" s="36"/>
      <x:c r="F25" s="36"/>
      <x:c r="G25" s="36" t="n">
        <x:f>COUNTIF('主要期刊'!D5:D55,"Nature Neuroscience")</x:f>
        <x:v>3</x:v>
      </x:c>
      <x:c r="H25" s="36"/>
    </x:row>
    <x:row r="26" ht="25" customHeight="1">
      <x:c r="A26" s="36" t="str">
        <x:v>Science</x:v>
      </x:c>
      <x:c r="B26" s="36"/>
      <x:c r="C26" s="36"/>
      <x:c r="D26" s="36"/>
      <x:c r="E26" s="36"/>
      <x:c r="F26" s="36"/>
      <x:c r="G26" s="36" t="n">
        <x:f>COUNTIF('主要期刊'!D5:D55,"Science")</x:f>
        <x:v>3</x:v>
      </x:c>
      <x:c r="H26" s="36"/>
    </x:row>
    <x:row r="27" ht="25" customHeight="1">
      <x:c r="A27" s="36" t="str">
        <x:v>Science Advances</x:v>
      </x:c>
      <x:c r="B27" s="36"/>
      <x:c r="C27" s="36"/>
      <x:c r="D27" s="36"/>
      <x:c r="E27" s="36"/>
      <x:c r="F27" s="36"/>
      <x:c r="G27" s="36" t="n">
        <x:f>COUNTIF('主要期刊'!D5:D55,"Science Advances")</x:f>
        <x:v>2</x:v>
      </x:c>
      <x:c r="H27" s="36"/>
    </x:row>
    <x:row r="28" ht="25" customHeight="1">
      <x:c r="A28" s="36" t="str">
        <x:v>Nature Computational Science</x:v>
      </x:c>
      <x:c r="B28" s="36"/>
      <x:c r="C28" s="36"/>
      <x:c r="D28" s="36"/>
      <x:c r="E28" s="36"/>
      <x:c r="F28" s="36"/>
      <x:c r="G28" s="36" t="n">
        <x:f>COUNTIF('主要期刊'!D5:D55,"Nature Computational Science")</x:f>
        <x:v>1</x:v>
      </x:c>
      <x:c r="H28" s="36"/>
    </x:row>
    <x:row r="29" ht="25" customHeight="1">
      <x:c r="A29" s="36" t="str">
        <x:v>Nature Machine Intelligence</x:v>
      </x:c>
      <x:c r="B29" s="36"/>
      <x:c r="C29" s="36"/>
      <x:c r="D29" s="36"/>
      <x:c r="E29" s="36"/>
      <x:c r="F29" s="36"/>
      <x:c r="G29" s="36" t="n">
        <x:f>COUNTIF('主要期刊'!D5:D55,"Nature Machine Intelligence")</x:f>
        <x:v>1</x:v>
      </x:c>
      <x:c r="H29" s="36"/>
    </x:row>
    <x:row r="30">
      <x:c r="A30" s="36"/>
      <x:c r="B30" s="36"/>
      <x:c r="C30" s="36"/>
      <x:c r="D30" s="36"/>
      <x:c r="E30" s="36"/>
      <x:c r="F30" s="36"/>
      <x:c r="G30" s="36"/>
      <x:c r="H30" s="36"/>
    </x:row>
    <x:row r="31">
      <x:c r="A31" s="36"/>
      <x:c r="B31" s="36"/>
      <x:c r="C31" s="36"/>
      <x:c r="D31" s="36"/>
      <x:c r="E31" s="36"/>
      <x:c r="F31" s="36"/>
      <x:c r="G31" s="36"/>
      <x:c r="H31" s="36"/>
    </x:row>
    <x:row r="32" ht="22" customHeight="1">
      <x:c r="A32" s="65" t="str">
        <x:v>检索截止：2026-09-15。结构化范围检索，不是穷尽性系统综述。新实验、既有数据再分析与自然行为研究分别标记；样本量只填已核实部分。故事拆解是分析性归纳，而非作者原话。</x:v>
      </x:c>
      <x:c r="B32" s="65"/>
      <x:c r="C32" s="65"/>
      <x:c r="D32" s="65"/>
      <x:c r="E32" s="65"/>
      <x:c r="F32" s="65"/>
      <x:c r="G32" s="65"/>
      <x:c r="H32" s="65"/>
    </x:row>
    <x:row r="33" ht="22" customHeight="1">
      <x:c r="A33" s="65"/>
      <x:c r="B33" s="65"/>
      <x:c r="C33" s="65"/>
      <x:c r="D33" s="65"/>
      <x:c r="E33" s="65"/>
      <x:c r="F33" s="65"/>
      <x:c r="G33" s="65"/>
      <x:c r="H33" s="65"/>
    </x:row>
    <x:row r="34" ht="22" customHeight="1">
      <x:c r="A34" s="65"/>
      <x:c r="B34" s="65"/>
      <x:c r="C34" s="65"/>
      <x:c r="D34" s="65"/>
      <x:c r="E34" s="65"/>
      <x:c r="F34" s="65"/>
      <x:c r="G34" s="65"/>
      <x:c r="H34" s="65"/>
    </x:row>
    <x:row r="35">
      <x:c r="A35" s="36"/>
      <x:c r="B35" s="36"/>
      <x:c r="C35" s="36"/>
      <x:c r="D35" s="36"/>
      <x:c r="E35" s="36"/>
      <x:c r="F35" s="36"/>
      <x:c r="G35" s="36"/>
      <x:c r="H35" s="36"/>
    </x:row>
    <x:row r="36">
      <x:c r="A36" s="36"/>
      <x:c r="B36" s="36"/>
      <x:c r="C36" s="36"/>
      <x:c r="D36" s="36"/>
      <x:c r="E36" s="36"/>
      <x:c r="F36" s="36"/>
      <x:c r="G36" s="36"/>
      <x:c r="H36" s="36"/>
    </x:row>
    <x:row r="37">
      <x:c r="A37" s="36"/>
      <x:c r="B37" s="36"/>
      <x:c r="C37" s="36"/>
      <x:c r="D37" s="36"/>
      <x:c r="E37" s="36"/>
      <x:c r="F37" s="36"/>
      <x:c r="G37" s="36"/>
      <x:c r="H37" s="36"/>
    </x:row>
    <x:row r="38">
      <x:c r="A38" s="36"/>
      <x:c r="B38" s="36"/>
      <x:c r="C38" s="36"/>
      <x:c r="D38" s="36"/>
      <x:c r="E38" s="36"/>
      <x:c r="F38" s="36"/>
      <x:c r="G38" s="36"/>
      <x:c r="H38" s="36"/>
    </x:row>
  </x:sheetData>
  <x:mergeCells>
    <x:mergeCell ref="A1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H8"/>
    <x:mergeCell ref="B9:F9"/>
    <x:mergeCell ref="G9:H9"/>
    <x:mergeCell ref="B10:F10"/>
    <x:mergeCell ref="G10:H10"/>
    <x:mergeCell ref="B11:F11"/>
    <x:mergeCell ref="G11:H11"/>
    <x:mergeCell ref="B12:F12"/>
    <x:mergeCell ref="G12:H12"/>
    <x:mergeCell ref="B13:F13"/>
    <x:mergeCell ref="G13:H13"/>
    <x:mergeCell ref="B14:F14"/>
    <x:mergeCell ref="G14:H14"/>
    <x:mergeCell ref="A16:H16"/>
    <x:mergeCell ref="A18:H18"/>
    <x:mergeCell ref="A19:F19"/>
    <x:mergeCell ref="G19:H19"/>
    <x:mergeCell ref="A20:F20"/>
    <x:mergeCell ref="G20:H20"/>
    <x:mergeCell ref="A21:F21"/>
    <x:mergeCell ref="G21:H21"/>
    <x:mergeCell ref="A22:F22"/>
    <x:mergeCell ref="G22:H22"/>
    <x:mergeCell ref="A23:F23"/>
    <x:mergeCell ref="G23:H23"/>
    <x:mergeCell ref="A24:F24"/>
    <x:mergeCell ref="G24:H24"/>
    <x:mergeCell ref="A25:F25"/>
    <x:mergeCell ref="G25:H25"/>
    <x:mergeCell ref="A26:F26"/>
    <x:mergeCell ref="G26:H26"/>
    <x:mergeCell ref="A27:F27"/>
    <x:mergeCell ref="G27:H27"/>
    <x:mergeCell ref="A28:F28"/>
    <x:mergeCell ref="G28:H28"/>
    <x:mergeCell ref="A29:F29"/>
    <x:mergeCell ref="G29:H29"/>
    <x:mergeCell ref="A32:H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0" hidden="0" customWidth="1"/>
    <x:col min="3" max="3" width="22" hidden="0" customWidth="1"/>
    <x:col min="4" max="4" width="26" hidden="0" customWidth="1"/>
    <x:col min="5" max="5" width="23" hidden="0" customWidth="1"/>
    <x:col min="6" max="6" width="25" hidden="0" customWidth="1"/>
    <x:col min="7" max="7" width="30" hidden="0" customWidth="1"/>
    <x:col min="8" max="8" width="40" hidden="0" customWidth="1"/>
    <x:col min="9" max="9" width="40" hidden="0" customWidth="1"/>
    <x:col min="10" max="10" width="40" hidden="0" customWidth="1"/>
    <x:col min="11" max="11" width="40" hidden="0" customWidth="1"/>
    <x:col min="12" max="12" width="40" hidden="0" customWidth="1"/>
    <x:col min="13" max="13" width="36" hidden="0" customWidth="1"/>
    <x:col min="14" max="14" width="16" hidden="0" customWidth="1"/>
    <x:col min="15" max="15" width="30" hidden="0" customWidth="1"/>
    <x:col min="16" max="16" width="35" hidden="0" customWidth="1"/>
    <x:col min="17" max="17" width="40" hidden="0" customWidth="1"/>
    <x:col min="18" max="18" width="16" hidden="0" customWidth="1"/>
  </x:cols>
  <x:sheetData>
    <x:row r="1" ht="36" customHeight="1">
      <x:c r="A1" s="9" t="str">
        <x:v>主要期刊｜人类认知实验与计算建模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</x:row>
    <x:row r="2" ht="32" customHeight="1">
      <x:c r="A2" s="13" t="str">
        <x:v>51篇｜包含明确标记的既有数据再分析与自然行为研究；并非全部都是新招募认知实验。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38" customHeight="1">
      <x:c r="A4" s="18" t="str">
        <x:v>编号</x:v>
      </x:c>
      <x:c r="B4" s="18" t="str">
        <x:v>正式题名</x:v>
      </x:c>
      <x:c r="C4" s="18" t="str">
        <x:v>发表年份（优先在线）</x:v>
      </x:c>
      <x:c r="D4" s="18" t="str">
        <x:v>期刊</x:v>
      </x:c>
      <x:c r="E4" s="18" t="str">
        <x:v>作者</x:v>
      </x:c>
      <x:c r="F4" s="18" t="str">
        <x:v>主题</x:v>
      </x:c>
      <x:c r="G4" s="18" t="str">
        <x:v>证据构成</x:v>
      </x:c>
      <x:c r="H4" s="18" t="str">
        <x:v>实验任务与操纵</x:v>
      </x:c>
      <x:c r="I4" s="18" t="str">
        <x:v>计算模型</x:v>
      </x:c>
      <x:c r="J4" s="18" t="str">
        <x:v>主要发现</x:v>
      </x:c>
      <x:c r="K4" s="18" t="str">
        <x:v>故事逻辑／可借鉴点</x:v>
      </x:c>
      <x:c r="L4" s="18" t="str">
        <x:v>证据边界</x:v>
      </x:c>
      <x:c r="M4" s="18" t="str">
        <x:v>样本与测量规模（已核实部分）</x:v>
      </x:c>
      <x:c r="N4" s="18" t="str">
        <x:v>阅读优先级</x:v>
      </x:c>
      <x:c r="O4" s="18" t="str">
        <x:v>本次核实深度</x:v>
      </x:c>
      <x:c r="P4" s="18" t="str">
        <x:v>DOI</x:v>
      </x:c>
      <x:c r="Q4" s="18" t="str">
        <x:v>原始来源网址</x:v>
      </x:c>
      <x:c r="R4" s="18" t="str">
        <x:v>阅读状态</x:v>
      </x:c>
    </x:row>
    <x:row r="5" ht="112" customHeight="1">
      <x:c r="A5" s="22" t="str">
        <x:v>A01</x:v>
      </x:c>
      <x:c r="B5" s="4" t="str">
        <x:v>People construct simplified mental representations to plan</x:v>
      </x:c>
      <x:c r="C5" s="4" t="str">
        <x:v>2022</x:v>
      </x:c>
      <x:c r="D5" s="4" t="str">
        <x:v>Nature</x:v>
      </x:c>
      <x:c r="E5" s="4" t="str">
        <x:v>Ho et al.</x:v>
      </x:c>
      <x:c r="F5" s="4" t="str">
        <x:v>表征、抽象与泛化</x:v>
      </x:c>
      <x:c r="G5" s="4" t="str">
        <x:v>B｜新行为实验</x:v>
      </x:c>
      <x:c r="H5" s="4" t="str">
        <x:v>迷宫规划；障碍物记忆、意识报告及信息查看等过程测量</x:v>
      </x:c>
      <x:c r="I5" s="4" t="str">
        <x:v>价值引导的表征构建：权衡表征复杂度与规划效用</x:v>
      </x:c>
      <x:c r="J5" s="4" t="str">
        <x:v>选择性保留与当前计划有关的环境要素，而非先完整表征再缩短搜索</x:v>
      </x:c>
      <x:c r="K5" s="4" t="str">
        <x:v>把解释层级从‘如何搜索’推进到‘搜索什么表征’</x:v>
      </x:c>
      <x:c r="L5" s="4" t="str">
        <x:v>对比候选模型支持价值引导的构建；不等于唯一神经实现</x:v>
      </x:c>
      <x:c r="M5" s="4" t="str">
        <x:v>文中扩展图汇总825名独立参与者、84,215个观测；不是单实验N</x:v>
      </x:c>
      <x:c r="N5" s="4" t="str">
        <x:v>优先精读</x:v>
      </x:c>
      <x:c r="O5" s="4" t="str">
        <x:v>正文相关段落与扩展图说明</x:v>
      </x:c>
      <x:c r="P5" s="4" t="str">
        <x:v>10.1038/s41586-022-04743-9</x:v>
      </x:c>
      <x:c r="Q5" s="24" t="str">
        <x:v>https://www.nature.com/articles/s41586-022-04743-9</x:v>
      </x:c>
      <x:c r="R5" s="4" t="str">
        <x:v>未读</x:v>
      </x:c>
    </x:row>
    <x:row r="6" ht="112" customHeight="1">
      <x:c r="A6" s="22" t="str">
        <x:v>A02</x:v>
      </x:c>
      <x:c r="B6" s="4" t="str">
        <x:v>Computational evidence for hierarchically structured reinforcement learning in humans</x:v>
      </x:c>
      <x:c r="C6" s="4" t="str">
        <x:v>2020</x:v>
      </x:c>
      <x:c r="D6" s="4" t="str">
        <x:v>PNAS</x:v>
      </x:c>
      <x:c r="E6" s="4" t="str">
        <x:v>Eckstein &amp; Collins</x:v>
      </x:c>
      <x:c r="F6" s="4" t="str">
        <x:v>表征、抽象与泛化</x:v>
      </x:c>
      <x:c r="G6" s="4" t="str">
        <x:v>B｜新行为实验</x:v>
      </x:c>
      <x:c r="H6" s="4" t="str">
        <x:v>情境化规则学习；隐藏情境、迁移、价值偏好和切换测试</x:v>
      </x:c>
      <x:c r="I6" s="4" t="str">
        <x:v>平面RL、层级RL、层级贝叶斯模型</x:v>
      </x:c>
      <x:c r="J6" s="4" t="str">
        <x:v>只有层级RL同时覆盖所测试的切换、迁移与价值效应</x:v>
      </x:c>
      <x:c r="K6" s="4" t="str">
        <x:v>用一组互相约束的行为指纹筛选机制，而非只比总拟合</x:v>
      </x:c>
      <x:c r="L6" s="4" t="str">
        <x:v>三个独立样本重复；结论限于所比较的模型</x:v>
      </x:c>
      <x:c r="M6" s="4" t="str">
        <x:v>3个独立样本；各实验N未逐项核对</x:v>
      </x:c>
      <x:c r="N6" s="4" t="str">
        <x:v>优先精读</x:v>
      </x:c>
      <x:c r="O6" s="4" t="str">
        <x:v>摘要与图说明</x:v>
      </x:c>
      <x:c r="P6" s="4" t="str">
        <x:v>10.1073/pnas.1912330117</x:v>
      </x:c>
      <x:c r="Q6" s="24" t="str">
        <x:v>https://pubmed.ncbi.nlm.nih.gov/33229518/</x:v>
      </x:c>
      <x:c r="R6" s="4" t="str">
        <x:v>未读</x:v>
      </x:c>
    </x:row>
    <x:row r="7" ht="112" customHeight="1">
      <x:c r="A7" s="22" t="str">
        <x:v>A03</x:v>
      </x:c>
      <x:c r="B7" s="4" t="str">
        <x:v>Multi-task reinforcement learning in humans</x:v>
      </x:c>
      <x:c r="C7" s="4" t="str">
        <x:v>2021</x:v>
      </x:c>
      <x:c r="D7" s="4" t="str">
        <x:v>Nature Human Behaviour</x:v>
      </x:c>
      <x:c r="E7" s="4" t="str">
        <x:v>Tomov, Schulz &amp; Gershman</x:v>
      </x:c>
      <x:c r="F7" s="4" t="str">
        <x:v>表征、抽象与泛化</x:v>
      </x:c>
      <x:c r="G7" s="4" t="str">
        <x:v>B｜新行为实验</x:v>
      </x:c>
      <x:c r="H7" s="4" t="str">
        <x:v>改变任务特征及奖励函数的两阶段学习和迁移</x:v>
      </x:c>
      <x:c r="I7" s="4" t="str">
        <x:v>后继特征与广义策略改进；对比其他RL方案</x:v>
      </x:c>
      <x:c r="J7" s="4" t="str">
        <x:v>人类能够重用已有策略支持新目标；成功学习者的证据更强</x:v>
      </x:c>
      <x:c r="K7" s="4" t="str">
        <x:v>把灵活迁移拆成可复用的表征与策略操作</x:v>
      </x:c>
      <x:c r="L7" s="4" t="str">
        <x:v>不能把成功学习子群的结果概括为所有人</x:v>
      </x:c>
      <x:c r="M7" s="4" t="str">
        <x:v>3项探索实验＋大型预注册确认实验；N未逐项核对</x:v>
      </x:c>
      <x:c r="N7" s="4" t="str">
        <x:v>延伸</x:v>
      </x:c>
      <x:c r="O7" s="4" t="str">
        <x:v>摘要与书目信息</x:v>
      </x:c>
      <x:c r="P7" s="4" t="str">
        <x:v>10.1038/s41562-020-01035-y</x:v>
      </x:c>
      <x:c r="Q7" s="24" t="str">
        <x:v>https://pubmed.ncbi.nlm.nih.gov/33510391/</x:v>
      </x:c>
      <x:c r="R7" s="4" t="str">
        <x:v>未读</x:v>
      </x:c>
    </x:row>
    <x:row r="8" ht="112" customHeight="1">
      <x:c r="A8" s="22" t="str">
        <x:v>A04</x:v>
      </x:c>
      <x:c r="B8" s="4" t="str">
        <x:v>Curriculum learning for human compositional generalization</x:v>
      </x:c>
      <x:c r="C8" s="4" t="str">
        <x:v>2022</x:v>
      </x:c>
      <x:c r="D8" s="4" t="str">
        <x:v>PNAS</x:v>
      </x:c>
      <x:c r="E8" s="4" t="str">
        <x:v>Dekker, Otto &amp; Summerfield</x:v>
      </x:c>
      <x:c r="F8" s="4" t="str">
        <x:v>表征、抽象与泛化</x:v>
      </x:c>
      <x:c r="G8" s="4" t="str">
        <x:v>B｜新行为实验</x:v>
      </x:c>
      <x:c r="H8" s="4" t="str">
        <x:v>组合函数学习；正交维度、训练排列及blocked/interleaved操纵</x:v>
      </x:c>
      <x:c r="I8" s="4" t="str">
        <x:v>Hebbian门控神经网络；个体学习阶段模型</x:v>
      </x:c>
      <x:c r="J8" s="4" t="str">
        <x:v>轴对齐、时间相关的课程促进组合泛化；个体可分阶段掌握维度</x:v>
      </x:c>
      <x:c r="K8" s="4" t="str">
        <x:v>由‘能否泛化’转向‘什么训练使表征可组合’</x:v>
      </x:c>
      <x:c r="L8" s="4" t="str">
        <x:v>门控模型是解释性实现；不证明生物脑必须使用该学习规则</x:v>
      </x:c>
      <x:c r="M8" s="4" t="str">
        <x:v>至少2项主要实验；各条件N未逐项核对</x:v>
      </x:c>
      <x:c r="N8" s="4" t="str">
        <x:v>优先精读</x:v>
      </x:c>
      <x:c r="O8" s="4" t="str">
        <x:v>摘要与图说明</x:v>
      </x:c>
      <x:c r="P8" s="4" t="str">
        <x:v>10.1073/pnas.2205582119</x:v>
      </x:c>
      <x:c r="Q8" s="24" t="str">
        <x:v>https://pubmed.ncbi.nlm.nih.gov/36191191/</x:v>
      </x:c>
      <x:c r="R8" s="4" t="str">
        <x:v>未读</x:v>
      </x:c>
    </x:row>
    <x:row r="9" ht="112" customHeight="1">
      <x:c r="A9" s="22" t="str">
        <x:v>A05</x:v>
      </x:c>
      <x:c r="B9" s="4" t="str">
        <x:v>Orthogonal representations for robust context-dependent task performance in brains and neural networks</x:v>
      </x:c>
      <x:c r="C9" s="4" t="str">
        <x:v>2022</x:v>
      </x:c>
      <x:c r="D9" s="4" t="str">
        <x:v>Neuron</x:v>
      </x:c>
      <x:c r="E9" s="4" t="str">
        <x:v>Flesch et al.</x:v>
      </x:c>
      <x:c r="F9" s="4" t="str">
        <x:v>表征、抽象与泛化</x:v>
      </x:c>
      <x:c r="G9" s="4" t="str">
        <x:v>N＋R｜人类实验与跨物种比较</x:v>
      </x:c>
      <x:c r="H9" s="4" t="str">
        <x:v>情境依赖分类；人类fMRI并与猕猴及网络数据比较</x:v>
      </x:c>
      <x:c r="I9" s="4" t="str">
        <x:v>神经网络rich/lazy学习与表征几何分析</x:v>
      </x:c>
      <x:c r="J9" s="4" t="str">
        <x:v>正交化的任务表征为减少情境间干扰提供解释</x:v>
      </x:c>
      <x:c r="K9" s="4" t="str">
        <x:v>把行为上的抗干扰转成可检验的表征几何</x:v>
      </x:c>
      <x:c r="L9" s="4" t="str">
        <x:v>存在正式更正；猕猴表征解释另有后续讨论，不能把相似性等同机制同一</x:v>
      </x:c>
      <x:c r="M9" s="4" t="str">
        <x:v>各物种、实验N未逐项核对</x:v>
      </x:c>
      <x:c r="N9" s="4" t="str">
        <x:v>延伸</x:v>
      </x:c>
      <x:c r="O9" s="4" t="str">
        <x:v>摘要与正式标题；未逐条核查更正</x:v>
      </x:c>
      <x:c r="P9" s="4" t="str">
        <x:v>10.1016/j.neuron.2022.01.005</x:v>
      </x:c>
      <x:c r="Q9" s="24" t="str">
        <x:v>https://pubmed.ncbi.nlm.nih.gov/35085492/</x:v>
      </x:c>
      <x:c r="R9" s="4" t="str">
        <x:v>未读</x:v>
      </x:c>
    </x:row>
    <x:row r="10" ht="112" customHeight="1">
      <x:c r="A10" s="22" t="str">
        <x:v>A06</x:v>
      </x:c>
      <x:c r="B10" s="4" t="str">
        <x:v>Neural knowledge assembly in humans and neural networks</x:v>
      </x:c>
      <x:c r="C10" s="4" t="str">
        <x:v>2023</x:v>
      </x:c>
      <x:c r="D10" s="4" t="str">
        <x:v>Neuron</x:v>
      </x:c>
      <x:c r="E10" s="4" t="str">
        <x:v>Nelli et al.</x:v>
      </x:c>
      <x:c r="F10" s="4" t="str">
        <x:v>表征、抽象与泛化</x:v>
      </x:c>
      <x:c r="G10" s="4" t="str">
        <x:v>N｜行为＋人类神经数据</x:v>
      </x:c>
      <x:c r="H10" s="4" t="str">
        <x:v>分别学习知识次序，再用少量桥接关系整合；fMRI</x:v>
      </x:c>
      <x:c r="I10" s="4" t="str">
        <x:v>梯度学习网络与表征重组</x:v>
      </x:c>
      <x:c r="J10" s="4" t="str">
        <x:v>局部新关系可引发已有知识的全局组织变化</x:v>
      </x:c>
      <x:c r="K10" s="4" t="str">
        <x:v>从‘多记住一条关系’上升为‘知识如何重新组装’</x:v>
      </x:c>
      <x:c r="L10" s="4" t="str">
        <x:v>人脑与网络对应提供约束，并不唯一识别脑内算法</x:v>
      </x:c>
      <x:c r="M10" s="4" t="str">
        <x:v>未逐实验核对</x:v>
      </x:c>
      <x:c r="N10" s="4" t="str">
        <x:v>优先精读</x:v>
      </x:c>
      <x:c r="O10" s="4" t="str">
        <x:v>摘要与作者机构存档</x:v>
      </x:c>
      <x:c r="P10" s="4" t="str">
        <x:v>10.1016/j.neuron.2023.02.014</x:v>
      </x:c>
      <x:c r="Q10" s="24" t="str">
        <x:v>https://pubmed.ncbi.nlm.nih.gov/36898375/</x:v>
      </x:c>
      <x:c r="R10" s="4" t="str">
        <x:v>未读</x:v>
      </x:c>
    </x:row>
    <x:row r="11" ht="112" customHeight="1">
      <x:c r="A11" s="22" t="str">
        <x:v>A07</x:v>
      </x:c>
      <x:c r="B11" s="4" t="str">
        <x:v>Human-like systematic generalization through a meta-learning neural network</x:v>
      </x:c>
      <x:c r="C11" s="4" t="str">
        <x:v>2023</x:v>
      </x:c>
      <x:c r="D11" s="4" t="str">
        <x:v>Nature</x:v>
      </x:c>
      <x:c r="E11" s="4" t="str">
        <x:v>Lake &amp; Baroni</x:v>
      </x:c>
      <x:c r="F11" s="4" t="str">
        <x:v>表征、抽象与泛化</x:v>
      </x:c>
      <x:c r="G11" s="4" t="str">
        <x:v>B｜人类实验＋模型比较</x:v>
      </x:c>
      <x:c r="H11" s="4" t="str">
        <x:v>人工指令语言与未见组合的解释</x:v>
      </x:c>
      <x:c r="I11" s="4" t="str">
        <x:v>组合性元学习网络（MLC）</x:v>
      </x:c>
      <x:c r="J11" s="4" t="str">
        <x:v>合适元学习经验使网络呈现系统性泛化及人类式偏差</x:v>
      </x:c>
      <x:c r="K11" s="4" t="str">
        <x:v>把‘符号规则还是网络’改写为‘什么经验塑造组合能力’</x:v>
      </x:c>
      <x:c r="L11" s="4" t="str">
        <x:v>网络实现人类式行为，不等于人类实际采用同一训练过程</x:v>
      </x:c>
      <x:c r="M11" s="4" t="str">
        <x:v>未逐实验核对</x:v>
      </x:c>
      <x:c r="N11" s="4" t="str">
        <x:v>延伸</x:v>
      </x:c>
      <x:c r="O11" s="4" t="str">
        <x:v>正文相关段落与摘要</x:v>
      </x:c>
      <x:c r="P11" s="4" t="str">
        <x:v>10.1038/s41586-023-06668-3</x:v>
      </x:c>
      <x:c r="Q11" s="24" t="str">
        <x:v>https://www.nature.com/articles/s41586-023-06668-3</x:v>
      </x:c>
      <x:c r="R11" s="4" t="str">
        <x:v>未读</x:v>
      </x:c>
    </x:row>
    <x:row r="12" ht="112" customHeight="1">
      <x:c r="A12" s="22" t="str">
        <x:v>A08</x:v>
      </x:c>
      <x:c r="B12" s="4" t="str">
        <x:v>Humans and neural networks show similar patterns of transfer and interference during continual learning</x:v>
      </x:c>
      <x:c r="C12" s="4" t="str">
        <x:v>2025在线／2026卷期</x:v>
      </x:c>
      <x:c r="D12" s="4" t="str">
        <x:v>Nature Human Behaviour</x:v>
      </x:c>
      <x:c r="E12" s="4" t="str">
        <x:v>Holton et al.</x:v>
      </x:c>
      <x:c r="F12" s="4" t="str">
        <x:v>表征、抽象与泛化</x:v>
      </x:c>
      <x:c r="G12" s="4" t="str">
        <x:v>B｜新行为实验</x:v>
      </x:c>
      <x:c r="H12" s="4" t="str">
        <x:v>A–B–A连续规则学习；改变新旧规则距离并测未见项目泛化</x:v>
      </x:c>
      <x:c r="I12" s="4" t="str">
        <x:v>共享规则与项目化表征；rich/lazy网络对照</x:v>
      </x:c>
      <x:c r="J12" s="4" t="str">
        <x:v>较强迁移与较强干扰可以同时出现，体现共享表征的收益和代价</x:v>
      </x:c>
      <x:c r="K12" s="4" t="str">
        <x:v>把‘谁更聪明’改写为‘两种表征各自擅长什么’</x:v>
      </x:c>
      <x:c r="L12" s="4" t="str">
        <x:v>在线2025、卷期2026；lumpers/splitters不等于已证实稳定人格类型</x:v>
      </x:c>
      <x:c r="M12" s="4" t="str">
        <x:v>主文三种环境汇总分析N=305；招聘与纳入数须区分</x:v>
      </x:c>
      <x:c r="N12" s="4" t="str">
        <x:v>优先精读</x:v>
      </x:c>
      <x:c r="O12" s="4" t="str">
        <x:v>主文实验、模型与部分方法</x:v>
      </x:c>
      <x:c r="P12" s="4" t="str">
        <x:v>10.1038/s41562-025-02318-y</x:v>
      </x:c>
      <x:c r="Q12" s="24" t="str">
        <x:v>https://www.nature.com/articles/s41562-025-02318-y</x:v>
      </x:c>
      <x:c r="R12" s="4" t="str">
        <x:v>未读</x:v>
      </x:c>
    </x:row>
    <x:row r="13" ht="112" customHeight="1">
      <x:c r="A13" s="22" t="str">
        <x:v>A09</x:v>
      </x:c>
      <x:c r="B13" s="4" t="str">
        <x:v>Human curriculum learning of a cue combination task</x:v>
      </x:c>
      <x:c r="C13" s="4" t="str">
        <x:v>2026</x:v>
      </x:c>
      <x:c r="D13" s="4" t="str">
        <x:v>Nature Human Behaviour</x:v>
      </x:c>
      <x:c r="E13" s="4" t="str">
        <x:v>Mi &amp; Summerfield</x:v>
      </x:c>
      <x:c r="F13" s="4" t="str">
        <x:v>表征、抽象与泛化</x:v>
      </x:c>
      <x:c r="G13" s="4" t="str">
        <x:v>B｜新行为实验</x:v>
      </x:c>
      <x:c r="H13" s="4" t="str">
        <x:v>线索组合预测；单线索预训练、组合学习与新课程操纵</x:v>
      </x:c>
      <x:c r="I13" s="4" t="str">
        <x:v>边际更新与联合更新的混合/仲裁模型</x:v>
      </x:c>
      <x:c r="J13" s="4" t="str">
        <x:v>课程改变信用分配；模型预测某些偏斜多线索课程有帮助而另一些没有</x:v>
      </x:c>
      <x:c r="K13" s="4" t="str">
        <x:v>现象→竞争机制→未测课程的可证伪预测→实验</x:v>
      </x:c>
      <x:c r="L13" s="4" t="str">
        <x:v>2026-05-05发表；模型的混合结构仍依赖候选空间</x:v>
      </x:c>
      <x:c r="M13" s="4" t="str">
        <x:v>未逐实验核对</x:v>
      </x:c>
      <x:c r="N13" s="4" t="str">
        <x:v>优先精读</x:v>
      </x:c>
      <x:c r="O13" s="4" t="str">
        <x:v>正文相关结果与模型</x:v>
      </x:c>
      <x:c r="P13" s="4" t="str">
        <x:v>10.1038/s41562-026-02452-1</x:v>
      </x:c>
      <x:c r="Q13" s="24" t="str">
        <x:v>https://www.nature.com/articles/s41562-026-02452-1</x:v>
      </x:c>
      <x:c r="R13" s="4" t="str">
        <x:v>未读</x:v>
      </x:c>
    </x:row>
    <x:row r="14" ht="112" customHeight="1">
      <x:c r="A14" s="22" t="str">
        <x:v>A10</x:v>
      </x:c>
      <x:c r="B14" s="4" t="str">
        <x:v>Deep neural networks and humans both benefit from compositional language structure</x:v>
      </x:c>
      <x:c r="C14" s="4" t="str">
        <x:v>2024</x:v>
      </x:c>
      <x:c r="D14" s="4" t="str">
        <x:v>Nature Communications</x:v>
      </x:c>
      <x:c r="E14" s="4" t="str">
        <x:v>Galke, Ram &amp; Raviv</x:v>
      </x:c>
      <x:c r="F14" s="4" t="str">
        <x:v>表征、抽象与泛化</x:v>
      </x:c>
      <x:c r="G14" s="4" t="str">
        <x:v>R｜已有行为数据＋新模型研究</x:v>
      </x:c>
      <x:c r="H14" s="4" t="str">
        <x:v>不同组合结构的人工语言学习及泛化；人类实验数据比较</x:v>
      </x:c>
      <x:c r="I14" s="4" t="str">
        <x:v>深度网络与不同结构输入的比较</x:v>
      </x:c>
      <x:c r="J14" s="4" t="str">
        <x:v>更有组合结构的语言也更有利于网络学习及泛化</x:v>
      </x:c>
      <x:c r="K14" s="4" t="str">
        <x:v>从能力差异转向环境结构这一共同解释因素</x:v>
      </x:c>
      <x:c r="L14" s="4" t="str">
        <x:v>人类数据来自既有实验；不要当作全部新招募样本</x:v>
      </x:c>
      <x:c r="M14" s="4" t="str">
        <x:v>未逐实验核对</x:v>
      </x:c>
      <x:c r="N14" s="4" t="str">
        <x:v>延伸</x:v>
      </x:c>
      <x:c r="O14" s="4" t="str">
        <x:v>摘要与主文相关段落</x:v>
      </x:c>
      <x:c r="P14" s="4" t="str">
        <x:v>10.1038/s41467-024-55158-1</x:v>
      </x:c>
      <x:c r="Q14" s="24" t="str">
        <x:v>https://www.nature.com/articles/s41467-024-55158-1</x:v>
      </x:c>
      <x:c r="R14" s="4" t="str">
        <x:v>未读</x:v>
      </x:c>
    </x:row>
    <x:row r="15" ht="112" customHeight="1">
      <x:c r="A15" s="22" t="str">
        <x:v>A11</x:v>
      </x:c>
      <x:c r="B15" s="4" t="str">
        <x:v>Value signals guide abstraction during learning</x:v>
      </x:c>
      <x:c r="C15" s="4" t="str">
        <x:v>2021</x:v>
      </x:c>
      <x:c r="D15" s="4" t="str">
        <x:v>eLife</x:v>
      </x:c>
      <x:c r="E15" s="4" t="str">
        <x:v>Cortese et al.</x:v>
      </x:c>
      <x:c r="F15" s="4" t="str">
        <x:v>表征、抽象与泛化</x:v>
      </x:c>
      <x:c r="G15" s="4" t="str">
        <x:v>N｜行为＋人类神经数据</x:v>
      </x:c>
      <x:c r="H15" s="4" t="str">
        <x:v>视觉特征规则学习；两项fMRI实验及神经反馈式奖励操纵</x:v>
      </x:c>
      <x:c r="I15" s="4" t="str">
        <x:v>特征RL、抽象RL与mixture-of-experts</x:v>
      </x:c>
      <x:c r="J15" s="4" t="str">
        <x:v>奖励价值有助于选择与任务有关的抽象维度</x:v>
      </x:c>
      <x:c r="K15" s="4" t="str">
        <x:v>把抽象从纯感知压缩推进为价值引导的选择</x:v>
      </x:c>
      <x:c r="L15" s="4" t="str">
        <x:v>抽象模型预先知道相关维度；混合模型不是已唯一识别的实际算法</x:v>
      </x:c>
      <x:c r="M15" s="4" t="str">
        <x:v>2项fMRI实验；招募与不同分析纳入N不一，未统一汇总</x:v>
      </x:c>
      <x:c r="N15" s="4" t="str">
        <x:v>优先精读</x:v>
      </x:c>
      <x:c r="O15" s="4" t="str">
        <x:v>主文结果及作者明确限制</x:v>
      </x:c>
      <x:c r="P15" s="4" t="str">
        <x:v>10.7554/eLife.68943</x:v>
      </x:c>
      <x:c r="Q15" s="24" t="str">
        <x:v>https://elifesciences.org/articles/68943</x:v>
      </x:c>
      <x:c r="R15" s="4" t="str">
        <x:v>未读</x:v>
      </x:c>
    </x:row>
    <x:row r="16" ht="112" customHeight="1">
      <x:c r="A16" s="22" t="str">
        <x:v>A12</x:v>
      </x:c>
      <x:c r="B16" s="4" t="str">
        <x:v>Mental compression of spatial sequences in human working memory using numerical and geometrical primitives</x:v>
      </x:c>
      <x:c r="C16" s="4" t="str">
        <x:v>2021</x:v>
      </x:c>
      <x:c r="D16" s="4" t="str">
        <x:v>Neuron</x:v>
      </x:c>
      <x:c r="E16" s="4" t="str">
        <x:v>Al Roumi et al.</x:v>
      </x:c>
      <x:c r="F16" s="4" t="str">
        <x:v>表征、抽象与泛化</x:v>
      </x:c>
      <x:c r="G16" s="4" t="str">
        <x:v>N｜行为＋人类神经数据</x:v>
      </x:c>
      <x:c r="H16" s="4" t="str">
        <x:v>等长但规律性不同的空间序列；错误率与MEG预期信号</x:v>
      </x:c>
      <x:c r="I16" s="4" t="str">
        <x:v>形式语言的最小描述长度/程序压缩</x:v>
      </x:c>
      <x:c r="J16" s="4" t="str">
        <x:v>相同长度的序列因可压缩程度不同而产生不同记忆难度</x:v>
      </x:c>
      <x:c r="K16" s="4" t="str">
        <x:v>让‘难度’由表面项目数转向内部描述复杂度</x:v>
      </x:c>
      <x:c r="L16" s="4" t="str">
        <x:v>拟合所选形式语言不排除其他压缩词汇或编码方式</x:v>
      </x:c>
      <x:c r="M16" s="4" t="str">
        <x:v>未逐实验核对</x:v>
      </x:c>
      <x:c r="N16" s="4" t="str">
        <x:v>优先精读</x:v>
      </x:c>
      <x:c r="O16" s="4" t="str">
        <x:v>摘要与书目信息</x:v>
      </x:c>
      <x:c r="P16" s="4" t="str">
        <x:v>10.1016/j.neuron.2021.06.009</x:v>
      </x:c>
      <x:c r="Q16" s="24" t="str">
        <x:v>https://pubmed.ncbi.nlm.nih.gov/34228961/</x:v>
      </x:c>
      <x:c r="R16" s="4" t="str">
        <x:v>未读</x:v>
      </x:c>
    </x:row>
    <x:row r="17" ht="112" customHeight="1">
      <x:c r="A17" s="22" t="str">
        <x:v>B01</x:v>
      </x:c>
      <x:c r="B17" s="4" t="str">
        <x:v>Rational use of cognitive resources in human planning</x:v>
      </x:c>
      <x:c r="C17" s="4" t="str">
        <x:v>2022</x:v>
      </x:c>
      <x:c r="D17" s="4" t="str">
        <x:v>Nature Human Behaviour</x:v>
      </x:c>
      <x:c r="E17" s="4" t="str">
        <x:v>Callaway et al.</x:v>
      </x:c>
      <x:c r="F17" s="4" t="str">
        <x:v>规划、推理与探索</x:v>
      </x:c>
      <x:c r="G17" s="4" t="str">
        <x:v>B｜新行为实验</x:v>
      </x:c>
      <x:c r="H17" s="4" t="str">
        <x:v>规划前主动查看信息；记录搜索顺序</x:v>
      </x:c>
      <x:c r="I17" s="4" t="str">
        <x:v>资源理性元规划模型</x:v>
      </x:c>
      <x:c r="J17" s="4" t="str">
        <x:v>计算投入随预期收益与成本变化，而非使用一条固定搜索捷径</x:v>
      </x:c>
      <x:c r="K17" s="4" t="str">
        <x:v>不仅解释最后选什么，也解释为什么先看某条信息</x:v>
      </x:c>
      <x:c r="L17" s="4" t="str">
        <x:v>资源成本的形式与候选策略仍需独立约束</x:v>
      </x:c>
      <x:c r="M17" s="4" t="str">
        <x:v>未逐实验核对</x:v>
      </x:c>
      <x:c r="N17" s="4" t="str">
        <x:v>优先精读</x:v>
      </x:c>
      <x:c r="O17" s="4" t="str">
        <x:v>摘要与书目信息</x:v>
      </x:c>
      <x:c r="P17" s="4" t="str">
        <x:v>10.1038/s41562-022-01332-8</x:v>
      </x:c>
      <x:c r="Q17" s="24" t="str">
        <x:v>https://pubmed.ncbi.nlm.nih.gov/35484209/</x:v>
      </x:c>
      <x:c r="R17" s="4" t="str">
        <x:v>未读</x:v>
      </x:c>
    </x:row>
    <x:row r="18" ht="112" customHeight="1">
      <x:c r="A18" s="22" t="str">
        <x:v>B02</x:v>
      </x:c>
      <x:c r="B18" s="4" t="str">
        <x:v>Expertise increases planning depth in human gameplay</x:v>
      </x:c>
      <x:c r="C18" s="4" t="str">
        <x:v>2023</x:v>
      </x:c>
      <x:c r="D18" s="4" t="str">
        <x:v>Nature</x:v>
      </x:c>
      <x:c r="E18" s="4" t="str">
        <x:v>van Opheusden et al.</x:v>
      </x:c>
      <x:c r="F18" s="4" t="str">
        <x:v>规划、推理与探索</x:v>
      </x:c>
      <x:c r="G18" s="4" t="str">
        <x:v>B｜新行为实验</x:v>
      </x:c>
      <x:c r="H18" s="4" t="str">
        <x:v>简化棋类；选择、反应时和眼动</x:v>
      </x:c>
      <x:c r="I18" s="4" t="str">
        <x:v>启发式树搜索模型</x:v>
      </x:c>
      <x:c r="J18" s="4" t="str">
        <x:v>专业水平提高不仅伴随更好的评估，也伴随更深的规划</x:v>
      </x:c>
      <x:c r="K18" s="4" t="str">
        <x:v>将看似笼统的expertise拆成可竞争的计算来源</x:v>
      </x:c>
      <x:c r="L18" s="4" t="str">
        <x:v>正文未做完整参数恢复，作者诉诸预测与可靠性检验；不要把某子实验N当总N</x:v>
      </x:c>
      <x:c r="M18" s="4" t="str">
        <x:v>未逐实验核对</x:v>
      </x:c>
      <x:c r="N18" s="4" t="str">
        <x:v>优先精读</x:v>
      </x:c>
      <x:c r="O18" s="4" t="str">
        <x:v>正文与部分方法</x:v>
      </x:c>
      <x:c r="P18" s="4" t="str">
        <x:v>10.1038/s41586-023-06124-2</x:v>
      </x:c>
      <x:c r="Q18" s="24" t="str">
        <x:v>https://www.nature.com/articles/s41586-023-06124-2</x:v>
      </x:c>
      <x:c r="R18" s="4" t="str">
        <x:v>未读</x:v>
      </x:c>
    </x:row>
    <x:row r="19" ht="112" customHeight="1">
      <x:c r="A19" s="22" t="str">
        <x:v>B03</x:v>
      </x:c>
      <x:c r="B19" s="4" t="str">
        <x:v>People use fast and flat simulation to reason about new games</x:v>
      </x:c>
      <x:c r="C19" s="4" t="str">
        <x:v>2026</x:v>
      </x:c>
      <x:c r="D19" s="4" t="str">
        <x:v>Nature</x:v>
      </x:c>
      <x:c r="E19" s="4" t="str">
        <x:v>Collins et al.</x:v>
      </x:c>
      <x:c r="F19" s="4" t="str">
        <x:v>规划、推理与探索</x:v>
      </x:c>
      <x:c r="G19" s="4" t="str">
        <x:v>B｜新行为实验</x:v>
      </x:c>
      <x:c r="H19" s="4" t="str">
        <x:v>首次接触多种棋盘游戏；局势评价、行动和新手行为预测</x:v>
      </x:c>
      <x:c r="I19" s="4" t="str">
        <x:v>Intuitive Gamer：少量、平坦、目标偏置的模拟；对比深搜索与消融</x:v>
      </x:c>
      <x:c r="J19" s="4" t="str">
        <x:v>极少经验下，少量浅层自我模拟即可解释跨游戏判断</x:v>
      </x:c>
      <x:c r="K19" s="4" t="str">
        <x:v>把广泛的初见能力归结为小而可泛化的操作</x:v>
      </x:c>
      <x:c r="L19" s="4" t="str">
        <x:v>2026-07-15发表；新手初见任务不能直接推广至专家长时规划</x:v>
      </x:c>
      <x:c r="M19" s="4" t="str">
        <x:v>超过1,000名参与者；121种新游戏；不同子实验样本不相同</x:v>
      </x:c>
      <x:c r="N19" s="4" t="str">
        <x:v>优先精读</x:v>
      </x:c>
      <x:c r="O19" s="4" t="str">
        <x:v>正文主要结果与消融</x:v>
      </x:c>
      <x:c r="P19" s="4" t="str">
        <x:v>10.1038/s41586-026-10722-1</x:v>
      </x:c>
      <x:c r="Q19" s="24" t="str">
        <x:v>https://www.nature.com/articles/s41586-026-10722-1</x:v>
      </x:c>
      <x:c r="R19" s="4" t="str">
        <x:v>未读</x:v>
      </x:c>
    </x:row>
    <x:row r="20" ht="112" customHeight="1">
      <x:c r="A20" s="22" t="str">
        <x:v>B04</x:v>
      </x:c>
      <x:c r="B20" s="4" t="str">
        <x:v>A recurrent network model of planning explains hippocampal replay and human behavior</x:v>
      </x:c>
      <x:c r="C20" s="4" t="str">
        <x:v>2024</x:v>
      </x:c>
      <x:c r="D20" s="4" t="str">
        <x:v>Nature Neuroscience</x:v>
      </x:c>
      <x:c r="E20" s="4" t="str">
        <x:v>Jensen, Hennequin &amp; Mattar</x:v>
      </x:c>
      <x:c r="F20" s="4" t="str">
        <x:v>规划、推理与探索</x:v>
      </x:c>
      <x:c r="G20" s="4" t="str">
        <x:v>B＋跨物种比较｜新行为实验</x:v>
      </x:c>
      <x:c r="H20" s="4" t="str">
        <x:v>人类迷宫探索与利用；另与动物replay文献比较</x:v>
      </x:c>
      <x:c r="I20" s="4" t="str">
        <x:v>可选择‘思考/行动’的元强化学习RNN</x:v>
      </x:c>
      <x:c r="J20" s="4" t="str">
        <x:v>模型的内部模拟与人类思考时间及replay统计有对应关系</x:v>
      </x:c>
      <x:c r="K20" s="4" t="str">
        <x:v>让‘要不要继续想’本身成为受成本收益控制的决策</x:v>
      </x:c>
      <x:c r="L20" s="4" t="str">
        <x:v>人类部分不是海马记录；replay比较主要涉及动物数据</x:v>
      </x:c>
      <x:c r="M20" s="4" t="str">
        <x:v>新的人类迷宫实验N=94</x:v>
      </x:c>
      <x:c r="N20" s="4" t="str">
        <x:v>优先精读</x:v>
      </x:c>
      <x:c r="O20" s="4" t="str">
        <x:v>主文实验与模型</x:v>
      </x:c>
      <x:c r="P20" s="4" t="str">
        <x:v>10.1038/s41593-024-01675-7</x:v>
      </x:c>
      <x:c r="Q20" s="24" t="str">
        <x:v>https://www.nature.com/articles/s41593-024-01675-7</x:v>
      </x:c>
      <x:c r="R20" s="4" t="str">
        <x:v>未读</x:v>
      </x:c>
    </x:row>
    <x:row r="21" ht="112" customHeight="1">
      <x:c r="A21" s="22" t="str">
        <x:v>B05</x:v>
      </x:c>
      <x:c r="B21" s="4" t="str">
        <x:v>Developmental changes in exploration resemble stochastic optimization</x:v>
      </x:c>
      <x:c r="C21" s="4" t="str">
        <x:v>2023</x:v>
      </x:c>
      <x:c r="D21" s="4" t="str">
        <x:v>Nature Human Behaviour</x:v>
      </x:c>
      <x:c r="E21" s="4" t="str">
        <x:v>Giron et al.</x:v>
      </x:c>
      <x:c r="F21" s="4" t="str">
        <x:v>规划、推理与探索</x:v>
      </x:c>
      <x:c r="G21" s="4" t="str">
        <x:v>B｜新行为实验</x:v>
      </x:c>
      <x:c r="H21" s="4" t="str">
        <x:v>5–55岁参与者的结构化空间探索</x:v>
      </x:c>
      <x:c r="I21" s="4" t="str">
        <x:v>泛化、定向探索、随机探索参数与随机优化的比较</x:v>
      </x:c>
      <x:c r="J21" s="4" t="str">
        <x:v>年龄相关策略差异不只是减少随机性，而涉及多个参数共同变化</x:v>
      </x:c>
      <x:c r="K21" s="4" t="str">
        <x:v>将发展中的‘更成熟’改写为搜索策略的联合调整</x:v>
      </x:c>
      <x:c r="L21" s="4" t="str">
        <x:v>横断面年龄差异不等于个体的纵向发展轨迹</x:v>
      </x:c>
      <x:c r="M21" s="4" t="str">
        <x:v>N=281；年龄5–55岁</x:v>
      </x:c>
      <x:c r="N21" s="4" t="str">
        <x:v>延伸</x:v>
      </x:c>
      <x:c r="O21" s="4" t="str">
        <x:v>正文主要结果</x:v>
      </x:c>
      <x:c r="P21" s="4" t="str">
        <x:v>10.1038/s41562-023-01662-1</x:v>
      </x:c>
      <x:c r="Q21" s="24" t="str">
        <x:v>https://www.nature.com/articles/s41562-023-01662-1</x:v>
      </x:c>
      <x:c r="R21" s="4" t="str">
        <x:v>未读</x:v>
      </x:c>
    </x:row>
    <x:row r="22" ht="112" customHeight="1">
      <x:c r="A22" s="22" t="str">
        <x:v>B06</x:v>
      </x:c>
      <x:c r="B22" s="4" t="str">
        <x:v>Humans monitor learning progress in curiosity-driven exploration</x:v>
      </x:c>
      <x:c r="C22" s="4" t="str">
        <x:v>2021</x:v>
      </x:c>
      <x:c r="D22" s="4" t="str">
        <x:v>Nature Communications</x:v>
      </x:c>
      <x:c r="E22" s="4" t="str">
        <x:v>Ten, Kaushik, Oudeyer &amp; Gottlieb</x:v>
      </x:c>
      <x:c r="F22" s="4" t="str">
        <x:v>规划、推理与探索</x:v>
      </x:c>
      <x:c r="G22" s="4" t="str">
        <x:v>B｜新行为实验</x:v>
      </x:c>
      <x:c r="H22" s="4" t="str">
        <x:v>在可学习程度不同的任务之间自主选择练习</x:v>
      </x:c>
      <x:c r="I22" s="4" t="str">
        <x:v>基于学习进展等内在动机的选择模型</x:v>
      </x:c>
      <x:c r="J22" s="4" t="str">
        <x:v>自主探索与对自身学习进展的监控有关，而非只追求新奇</x:v>
      </x:c>
      <x:c r="K22" s="4" t="str">
        <x:v>把‘好奇心’从偏好标签转成动态可计算的目标</x:v>
      </x:c>
      <x:c r="L22" s="4" t="str">
        <x:v>学习进展与任务难度、成功水平需通过模型和设计区分</x:v>
      </x:c>
      <x:c r="M22" s="4" t="str">
        <x:v>未逐实验核对</x:v>
      </x:c>
      <x:c r="N22" s="4" t="str">
        <x:v>延伸</x:v>
      </x:c>
      <x:c r="O22" s="4" t="str">
        <x:v>摘要与主文相关段落</x:v>
      </x:c>
      <x:c r="P22" s="4" t="str">
        <x:v>10.1038/s41467-021-26196-w</x:v>
      </x:c>
      <x:c r="Q22" s="24" t="str">
        <x:v>https://www.nature.com/articles/s41467-021-26196-w</x:v>
      </x:c>
      <x:c r="R22" s="4" t="str">
        <x:v>未读</x:v>
      </x:c>
    </x:row>
    <x:row r="23" ht="112" customHeight="1">
      <x:c r="A23" s="22" t="str">
        <x:v>B07</x:v>
      </x:c>
      <x:c r="B23" s="4" t="str">
        <x:v>Empowerment contributes to exploration behaviour in a creative video game</x:v>
      </x:c>
      <x:c r="C23" s="4" t="str">
        <x:v>2023</x:v>
      </x:c>
      <x:c r="D23" s="4" t="str">
        <x:v>Nature Human Behaviour</x:v>
      </x:c>
      <x:c r="E23" s="4" t="str">
        <x:v>Brändle et al.</x:v>
      </x:c>
      <x:c r="F23" s="4" t="str">
        <x:v>规划、推理与探索</x:v>
      </x:c>
      <x:c r="G23" s="4" t="str">
        <x:v>O｜自然游戏行为建模</x:v>
      </x:c>
      <x:c r="H23" s="4" t="str">
        <x:v>Little Alchemy式组合创造游戏中的探索轨迹</x:v>
      </x:c>
      <x:c r="I23" s="4" t="str">
        <x:v>empowerment（扩大未来可行行动/结果）与其他探索目标</x:v>
      </x:c>
      <x:c r="J23" s="4" t="str">
        <x:v>探索不仅寻找当前新奇，也可能扩大未来的行动可能性</x:v>
      </x:c>
      <x:c r="K23" s="4" t="str">
        <x:v>把无外部奖励的探索解释为为未来保留选择</x:v>
      </x:c>
      <x:c r="L23" s="4" t="str">
        <x:v>不是标准短时实验；观察性日志不能单独确定因果动机</x:v>
      </x:c>
      <x:c r="M23" s="4" t="str">
        <x:v>未逐实验核对</x:v>
      </x:c>
      <x:c r="N23" s="4" t="str">
        <x:v>延伸</x:v>
      </x:c>
      <x:c r="O23" s="4" t="str">
        <x:v>摘要与书目信息</x:v>
      </x:c>
      <x:c r="P23" s="4" t="str">
        <x:v>10.1038/s41562-023-01661-2</x:v>
      </x:c>
      <x:c r="Q23" s="24" t="str">
        <x:v>https://www.nature.com/articles/s41562-023-01661-2</x:v>
      </x:c>
      <x:c r="R23" s="4" t="str">
        <x:v>未读</x:v>
      </x:c>
    </x:row>
    <x:row r="24" ht="112" customHeight="1">
      <x:c r="A24" s="22" t="str">
        <x:v>B08</x:v>
      </x:c>
      <x:c r="B24" s="4" t="str">
        <x:v>Human exploration strategically balances approaching and avoiding uncertainty</x:v>
      </x:c>
      <x:c r="C24" s="4" t="str">
        <x:v>2026</x:v>
      </x:c>
      <x:c r="D24" s="4" t="str">
        <x:v>eLife</x:v>
      </x:c>
      <x:c r="E24" s="4" t="str">
        <x:v>Abir, Shadlen &amp; Shohamy</x:v>
      </x:c>
      <x:c r="F24" s="4" t="str">
        <x:v>规划、推理与探索</x:v>
      </x:c>
      <x:c r="G24" s="4" t="str">
        <x:v>B｜新行为实验</x:v>
      </x:c>
      <x:c r="H24" s="4" t="str">
        <x:v>主动选择学习对象；知识测试、选择与反应时</x:v>
      </x:c>
      <x:c r="I24" s="4" t="str">
        <x:v>贝叶斯不确定性、信息增益比较；分段策略及序贯采样模型</x:v>
      </x:c>
      <x:c r="J24" s="4" t="str">
        <x:v>整体不确定性较低时接近未知，过高时反而选择较熟悉对象</x:v>
      </x:c>
      <x:c r="K24" s="4" t="str">
        <x:v>不把接近和回避未知视为两种固定人格，而看作状态依赖策略</x:v>
      </x:c>
      <x:c r="L24" s="4" t="str">
        <x:v>VOR于2026-03-27；初版评审预印本2024；回避本身不保证学习获益</x:v>
      </x:c>
      <x:c r="M24" s="4" t="str">
        <x:v>预注册样本N=194；初步样本N=62，分开报告</x:v>
      </x:c>
      <x:c r="N24" s="4" t="str">
        <x:v>优先精读</x:v>
      </x:c>
      <x:c r="O24" s="4" t="str">
        <x:v>主文结果与版本信息</x:v>
      </x:c>
      <x:c r="P24" s="4" t="str">
        <x:v>10.7554/eLife.94231.3</x:v>
      </x:c>
      <x:c r="Q24" s="24" t="str">
        <x:v>https://elifesciences.org/articles/94231</x:v>
      </x:c>
      <x:c r="R24" s="4" t="str">
        <x:v>未读</x:v>
      </x:c>
    </x:row>
    <x:row r="25" ht="112" customHeight="1">
      <x:c r="A25" s="22" t="str">
        <x:v>B09</x:v>
      </x:c>
      <x:c r="B25" s="4" t="str">
        <x:v>Computational basis of hierarchical and counterfactual information processing</x:v>
      </x:c>
      <x:c r="C25" s="4" t="str">
        <x:v>2025</x:v>
      </x:c>
      <x:c r="D25" s="4" t="str">
        <x:v>Nature Human Behaviour</x:v>
      </x:c>
      <x:c r="E25" s="4" t="str">
        <x:v>Ramadan et al.</x:v>
      </x:c>
      <x:c r="F25" s="4" t="str">
        <x:v>规划、推理与探索</x:v>
      </x:c>
      <x:c r="G25" s="4" t="str">
        <x:v>B｜新行为实验</x:v>
      </x:c>
      <x:c r="H25" s="4" t="str">
        <x:v>多阶段任务中使用层级信息、反事实与后验回溯</x:v>
      </x:c>
      <x:c r="I25" s="4" t="str">
        <x:v>加入并行瓶颈、反事实处理上限和WM噪声的RNN</x:v>
      </x:c>
      <x:c r="J25" s="4" t="str">
        <x:v>多个处理限制结合可重现看似不同的推理方式</x:v>
      </x:c>
      <x:c r="K25" s="4" t="str">
        <x:v>用共同约束组织策略差异，避免为每种行为增加独立模块</x:v>
      </x:c>
      <x:c r="L25" s="4" t="str">
        <x:v>匹配行为的限制组合仍非唯一可行的认知实现</x:v>
      </x:c>
      <x:c r="M25" s="4" t="str">
        <x:v>未逐实验核对</x:v>
      </x:c>
      <x:c r="N25" s="4" t="str">
        <x:v>优先精读</x:v>
      </x:c>
      <x:c r="O25" s="4" t="str">
        <x:v>正文相关结果与模型</x:v>
      </x:c>
      <x:c r="P25" s="4" t="str">
        <x:v>10.1038/s41562-025-02232-3</x:v>
      </x:c>
      <x:c r="Q25" s="24" t="str">
        <x:v>https://www.nature.com/articles/s41562-025-02232-3</x:v>
      </x:c>
      <x:c r="R25" s="4" t="str">
        <x:v>未读</x:v>
      </x:c>
    </x:row>
    <x:row r="26" ht="112" customHeight="1">
      <x:c r="A26" s="22" t="str">
        <x:v>B10</x:v>
      </x:c>
      <x:c r="B26" s="4" t="str">
        <x:v>Experience replay is associated with efficient nonlocal learning</x:v>
      </x:c>
      <x:c r="C26" s="4" t="str">
        <x:v>2021</x:v>
      </x:c>
      <x:c r="D26" s="4" t="str">
        <x:v>Science</x:v>
      </x:c>
      <x:c r="E26" s="4" t="str">
        <x:v>Liu, Mattar, Behrens, Daw &amp; Dolan</x:v>
      </x:c>
      <x:c r="F26" s="4" t="str">
        <x:v>规划、推理与探索</x:v>
      </x:c>
      <x:c r="G26" s="4" t="str">
        <x:v>N｜行为＋人类神经数据</x:v>
      </x:c>
      <x:c r="H26" s="4" t="str">
        <x:v>分离直接经历与未直接经历路径的价值学习；人类MEG</x:v>
      </x:c>
      <x:c r="I26" s="4" t="str">
        <x:v>基于效用优先级的replay/RL理论</x:v>
      </x:c>
      <x:c r="J26" s="4" t="str">
        <x:v>非局部学习与按未来效用组织的重放有关</x:v>
      </x:c>
      <x:c r="K26" s="4" t="str">
        <x:v>设计出‘没有重新经历也能更新’的诊断情境，赋予神经重放功能意义</x:v>
      </x:c>
      <x:c r="L26" s="4" t="str">
        <x:v>重放与学习关联不等于该重放已被干预证明必要</x:v>
      </x:c>
      <x:c r="M26" s="4" t="str">
        <x:v>未逐实验核对</x:v>
      </x:c>
      <x:c r="N26" s="4" t="str">
        <x:v>延伸</x:v>
      </x:c>
      <x:c r="O26" s="4" t="str">
        <x:v>期刊/索引摘要与书目信息</x:v>
      </x:c>
      <x:c r="P26" s="4" t="str">
        <x:v>10.1126/science.abf1357</x:v>
      </x:c>
      <x:c r="Q26" s="24" t="str">
        <x:v>https://pubmed.ncbi.nlm.nih.gov/34016753/</x:v>
      </x:c>
      <x:c r="R26" s="4" t="str">
        <x:v>未读</x:v>
      </x:c>
    </x:row>
    <x:row r="27" ht="112" customHeight="1">
      <x:c r="A27" s="22" t="str">
        <x:v>C01</x:v>
      </x:c>
      <x:c r="B27" s="4" t="str">
        <x:v>Information about action outcomes differentially affects learning from self-determined versus imposed choices</x:v>
      </x:c>
      <x:c r="C27" s="4" t="str">
        <x:v>2020</x:v>
      </x:c>
      <x:c r="D27" s="4" t="str">
        <x:v>Nature Human Behaviour</x:v>
      </x:c>
      <x:c r="E27" s="4" t="str">
        <x:v>Chambon et al.</x:v>
      </x:c>
      <x:c r="F27" s="4" t="str">
        <x:v>奖励学习、决策偏差与记忆</x:v>
      </x:c>
      <x:c r="G27" s="4" t="str">
        <x:v>B｜新行为实验</x:v>
      </x:c>
      <x:c r="H27" s="4" t="str">
        <x:v>自主/被迫选择；结果信息、奖励环境及go/no-go操纵</x:v>
      </x:c>
      <x:c r="I27" s="4" t="str">
        <x:v>非对称RL更新与选择确认模型</x:v>
      </x:c>
      <x:c r="J27" s="4" t="str">
        <x:v>结果的学习偏向取决于选择是否出于自主，而非仅取决于动作或效价</x:v>
      </x:c>
      <x:c r="K27" s="4" t="str">
        <x:v>用正交操纵定位偏差产生在哪个环节</x:v>
      </x:c>
      <x:c r="L27" s="4" t="str">
        <x:v>模型中的适应性收益依赖特定环境，不能概括为所有确认偏差都有益</x:v>
      </x:c>
      <x:c r="M27" s="4" t="str">
        <x:v>4项实验；各实验N未逐项核对</x:v>
      </x:c>
      <x:c r="N27" s="4" t="str">
        <x:v>优先精读</x:v>
      </x:c>
      <x:c r="O27" s="4" t="str">
        <x:v>摘要与图说明</x:v>
      </x:c>
      <x:c r="P27" s="4" t="str">
        <x:v>10.1038/s41562-020-0919-5</x:v>
      </x:c>
      <x:c r="Q27" s="24" t="str">
        <x:v>https://www.nature.com/articles/s41562-020-0919-5</x:v>
      </x:c>
      <x:c r="R27" s="4" t="str">
        <x:v>未读</x:v>
      </x:c>
    </x:row>
    <x:row r="28" ht="112" customHeight="1">
      <x:c r="A28" s="22" t="str">
        <x:v>C02</x:v>
      </x:c>
      <x:c r="B28" s="4" t="str">
        <x:v>Two sides of the same coin: Beneficial and detrimental consequences of range adaptation in human reinforcement learning</x:v>
      </x:c>
      <x:c r="C28" s="4" t="str">
        <x:v>2021</x:v>
      </x:c>
      <x:c r="D28" s="4" t="str">
        <x:v>Science Advances</x:v>
      </x:c>
      <x:c r="E28" s="4" t="str">
        <x:v>Bavard, Rustichini &amp; Palminteri</x:v>
      </x:c>
      <x:c r="F28" s="4" t="str">
        <x:v>奖励学习、决策偏差与记忆</x:v>
      </x:c>
      <x:c r="G28" s="4" t="str">
        <x:v>B｜新行为实验</x:v>
      </x:c>
      <x:c r="H28" s="4" t="str">
        <x:v>不同奖励范围中的学习和跨情境选择</x:v>
      </x:c>
      <x:c r="I28" s="4" t="str">
        <x:v>奖励范围适应/归一化RL</x:v>
      </x:c>
      <x:c r="J28" s="4" t="str">
        <x:v>适应局部奖励范围能带来收益，也造成跨环境估值偏差</x:v>
      </x:c>
      <x:c r="K28" s="4" t="str">
        <x:v>让优势和失误成为同一计算原则的两面</x:v>
      </x:c>
      <x:c r="L28" s="4" t="str">
        <x:v>归一化的收益与代价取决于训练和测试环境</x:v>
      </x:c>
      <x:c r="M28" s="4" t="str">
        <x:v>未逐实验核对</x:v>
      </x:c>
      <x:c r="N28" s="4" t="str">
        <x:v>优先精读</x:v>
      </x:c>
      <x:c r="O28" s="4" t="str">
        <x:v>摘要与书目信息</x:v>
      </x:c>
      <x:c r="P28" s="4" t="str">
        <x:v>10.1126/sciadv.abe0340</x:v>
      </x:c>
      <x:c r="Q28" s="24" t="str">
        <x:v>https://pubmed.ncbi.nlm.nih.gov/33811071/</x:v>
      </x:c>
      <x:c r="R28" s="4" t="str">
        <x:v>未读</x:v>
      </x:c>
    </x:row>
    <x:row r="29" ht="112" customHeight="1">
      <x:c r="A29" s="22" t="str">
        <x:v>C03</x:v>
      </x:c>
      <x:c r="B29" s="4" t="str">
        <x:v>Experiential values are underweighted in decisions involving symbolic options</x:v>
      </x:c>
      <x:c r="C29" s="4" t="str">
        <x:v>2023</x:v>
      </x:c>
      <x:c r="D29" s="4" t="str">
        <x:v>Nature Human Behaviour</x:v>
      </x:c>
      <x:c r="E29" s="4" t="str">
        <x:v>Garcia et al.</x:v>
      </x:c>
      <x:c r="F29" s="4" t="str">
        <x:v>奖励学习、决策偏差与记忆</x:v>
      </x:c>
      <x:c r="G29" s="4" t="str">
        <x:v>B｜新行为实验</x:v>
      </x:c>
      <x:c r="H29" s="4" t="str">
        <x:v>经验习得价值与数字描述价值的混合选择</x:v>
      </x:c>
      <x:c r="I29" s="4" t="str">
        <x:v>学习与选择模型；区分不同来源的估值权重</x:v>
      </x:c>
      <x:c r="J29" s="4" t="str">
        <x:v>与符号选项比较时，经验价值被低估，甚至产生代价</x:v>
      </x:c>
      <x:c r="K29" s="4" t="str">
        <x:v>让两种通常分开研究的信息在同一次选择中相遇</x:v>
      </x:c>
      <x:c r="L29" s="4" t="str">
        <x:v>不等于大脑完全没有共同价值信号；结论针对信息来源混合条件</x:v>
      </x:c>
      <x:c r="M29" s="4" t="str">
        <x:v>9项实验；各实验N未逐项核对</x:v>
      </x:c>
      <x:c r="N29" s="4" t="str">
        <x:v>优先精读</x:v>
      </x:c>
      <x:c r="O29" s="4" t="str">
        <x:v>摘要与图说明</x:v>
      </x:c>
      <x:c r="P29" s="4" t="str">
        <x:v>10.1038/s41562-022-01496-3</x:v>
      </x:c>
      <x:c r="Q29" s="24" t="str">
        <x:v>https://www.nature.com/articles/s41562-022-01496-3</x:v>
      </x:c>
      <x:c r="R29" s="4" t="str">
        <x:v>未读</x:v>
      </x:c>
    </x:row>
    <x:row r="30" ht="112" customHeight="1">
      <x:c r="A30" s="22" t="str">
        <x:v>C04</x:v>
      </x:c>
      <x:c r="B30" s="4" t="str">
        <x:v>A habit and working memory model as an alternative account of human reward-based learning</x:v>
      </x:c>
      <x:c r="C30" s="4" t="str">
        <x:v>2025在线／2026卷期</x:v>
      </x:c>
      <x:c r="D30" s="4" t="str">
        <x:v>Nature Human Behaviour</x:v>
      </x:c>
      <x:c r="E30" s="4" t="str">
        <x:v>Collins</x:v>
      </x:c>
      <x:c r="F30" s="4" t="str">
        <x:v>奖励学习、决策偏差与记忆</x:v>
      </x:c>
      <x:c r="G30" s="4" t="str">
        <x:v>M｜6个既有数据集＋1个新数据集</x:v>
      </x:c>
      <x:c r="H30" s="4" t="str">
        <x:v>多种情境化工具性学习数据；包含一项新实验</x:v>
      </x:c>
      <x:c r="I30" s="4" t="str">
        <x:v>习惯样联结＋工作记忆模型，对比标准RL及RLWM</x:v>
      </x:c>
      <x:c r="J30" s="4" t="str">
        <x:v>所测任务的奖励学习可由非标准RL的快慢过程组合更好解释</x:v>
      </x:c>
      <x:c r="K30" s="4" t="str">
        <x:v>挑战‘任务叫强化学习，行为就一定来自标准RL’</x:v>
      </x:c>
      <x:c r="L30" s="4" t="str">
        <x:v>在线2025、卷期2026；不是否认一切RL机制</x:v>
      </x:c>
      <x:c r="M30" s="4" t="str">
        <x:v>7个数据集，合计N=594</x:v>
      </x:c>
      <x:c r="N30" s="4" t="str">
        <x:v>优先精读</x:v>
      </x:c>
      <x:c r="O30" s="4" t="str">
        <x:v>主文数据构成、模型与结果</x:v>
      </x:c>
      <x:c r="P30" s="4" t="str">
        <x:v>10.1038/s41562-025-02340-0</x:v>
      </x:c>
      <x:c r="Q30" s="24" t="str">
        <x:v>https://www.nature.com/articles/s41562-025-02340-0</x:v>
      </x:c>
      <x:c r="R30" s="4" t="str">
        <x:v>未读</x:v>
      </x:c>
    </x:row>
    <x:row r="31" ht="112" customHeight="1">
      <x:c r="A31" s="22" t="str">
        <x:v>C05</x:v>
      </x:c>
      <x:c r="B31" s="4" t="str">
        <x:v>Hybrid neural–cognitive models reveal how memory shapes human reward learning</x:v>
      </x:c>
      <x:c r="C31" s="4" t="str">
        <x:v>2026</x:v>
      </x:c>
      <x:c r="D31" s="4" t="str">
        <x:v>Nature Human Behaviour</x:v>
      </x:c>
      <x:c r="E31" s="4" t="str">
        <x:v>Eckstein, Summerfield, Daw &amp; Miller</x:v>
      </x:c>
      <x:c r="F31" s="4" t="str">
        <x:v>奖励学习、决策偏差与记忆</x:v>
      </x:c>
      <x:c r="G31" s="4" t="str">
        <x:v>R｜既有人类行为数据再分析</x:v>
      </x:c>
      <x:c r="H31" s="4" t="str">
        <x:v>大型人类奖励学习数据的再建模</x:v>
      </x:c>
      <x:c r="I31" s="4" t="str">
        <x:v>用神经网络替换经典模型组件；必要性/充分性式比较</x:v>
      </x:c>
      <x:c r="J31" s="4" t="str">
        <x:v>比单一价值更新更丰富的记忆结构有助于解释行为</x:v>
      </x:c>
      <x:c r="K31" s="4" t="str">
        <x:v>把黑箱预测优势变成对经典假设的逐组件诊断</x:v>
      </x:c>
      <x:c r="L31" s="4" t="str">
        <x:v>DOI含2025但正式发表2026；预测更好不等于模型组件被直接测到</x:v>
      </x:c>
      <x:c r="M31" s="4" t="str">
        <x:v>未逐实验核对</x:v>
      </x:c>
      <x:c r="N31" s="4" t="str">
        <x:v>优先精读</x:v>
      </x:c>
      <x:c r="O31" s="4" t="str">
        <x:v>主文相关结果与模型</x:v>
      </x:c>
      <x:c r="P31" s="4" t="str">
        <x:v>10.1038/s41562-025-02324-0</x:v>
      </x:c>
      <x:c r="Q31" s="24" t="str">
        <x:v>https://www.nature.com/articles/s41562-025-02324-0</x:v>
      </x:c>
      <x:c r="R31" s="4" t="str">
        <x:v>未读</x:v>
      </x:c>
    </x:row>
    <x:row r="32" ht="112" customHeight="1">
      <x:c r="A32" s="22" t="str">
        <x:v>C06</x:v>
      </x:c>
      <x:c r="B32" s="4" t="str">
        <x:v>Computational mechanisms underlying latent value updating of unchosen actions</x:v>
      </x:c>
      <x:c r="C32" s="4" t="str">
        <x:v>2023</x:v>
      </x:c>
      <x:c r="D32" s="4" t="str">
        <x:v>Science Advances</x:v>
      </x:c>
      <x:c r="E32" s="4" t="str">
        <x:v>Ben-Artzi et al.</x:v>
      </x:c>
      <x:c r="F32" s="4" t="str">
        <x:v>奖励学习、决策偏差与记忆</x:v>
      </x:c>
      <x:c r="G32" s="4" t="str">
        <x:v>B｜新行为实验</x:v>
      </x:c>
      <x:c r="H32" s="4" t="str">
        <x:v>四臂任务每次呈现两个选项；考察未选项目后续价值</x:v>
      </x:c>
      <x:c r="I32" s="4" t="str">
        <x:v>结合选择与拒绝历史的价值更新模型</x:v>
      </x:c>
      <x:c r="J32" s="4" t="str">
        <x:v>未选项目的潜在更新不只依赖其被放弃这一单次事件</x:v>
      </x:c>
      <x:c r="K32" s="4" t="str">
        <x:v>利用未获得反馈的对象揭示隐性学习规则</x:v>
      </x:c>
      <x:c r="L32" s="4" t="str">
        <x:v>该任务对决策时长/难度的检验不能排除所有记忆机制</x:v>
      </x:c>
      <x:c r="M32" s="4" t="str">
        <x:v>N=178</x:v>
      </x:c>
      <x:c r="N32" s="4" t="str">
        <x:v>延伸</x:v>
      </x:c>
      <x:c r="O32" s="4" t="str">
        <x:v>摘要与书目信息</x:v>
      </x:c>
      <x:c r="P32" s="4" t="str">
        <x:v>10.1126/sciadv.adi2704</x:v>
      </x:c>
      <x:c r="Q32" s="24" t="str">
        <x:v>https://pubmed.ncbi.nlm.nih.gov/37862419/</x:v>
      </x:c>
      <x:c r="R32" s="4" t="str">
        <x:v>未读</x:v>
      </x:c>
    </x:row>
    <x:row r="33" ht="112" customHeight="1">
      <x:c r="A33" s="22" t="str">
        <x:v>C07</x:v>
      </x:c>
      <x:c r="B33" s="4" t="str">
        <x:v>Age-related differences in prefrontal glutamate are associated with increased working memory decay that gives the appearance of learning deficits</x:v>
      </x:c>
      <x:c r="C33" s="4" t="str">
        <x:v>2023</x:v>
      </x:c>
      <x:c r="D33" s="4" t="str">
        <x:v>eLife</x:v>
      </x:c>
      <x:c r="E33" s="4" t="str">
        <x:v>Rmus et al.</x:v>
      </x:c>
      <x:c r="F33" s="4" t="str">
        <x:v>奖励学习、决策偏差与记忆</x:v>
      </x:c>
      <x:c r="G33" s="4" t="str">
        <x:v>N｜行为＋人类神经化学测量</x:v>
      </x:c>
      <x:c r="H33" s="4" t="str">
        <x:v>不同年龄参与者RLWM任务；操纵负荷/延迟，结合MRS</x:v>
      </x:c>
      <x:c r="I33" s="4" t="str">
        <x:v>强化学习与工作记忆贡献分解</x:v>
      </x:c>
      <x:c r="J33" s="4" t="str">
        <x:v>表面学习缺陷可来自工作记忆保持较差，而非学习更新本身较慢</x:v>
      </x:c>
      <x:c r="K33" s="4" t="str">
        <x:v>重新定位‘能力不足’发生在哪个系统</x:v>
      </x:c>
      <x:c r="L33" s="4" t="str">
        <x:v>年龄和谷氨酸关联不等于因果或个体纵向衰退</x:v>
      </x:c>
      <x:c r="M33" s="4" t="str">
        <x:v>未逐实验核对</x:v>
      </x:c>
      <x:c r="N33" s="4" t="str">
        <x:v>优先精读</x:v>
      </x:c>
      <x:c r="O33" s="4" t="str">
        <x:v>摘要与书目信息</x:v>
      </x:c>
      <x:c r="P33" s="4" t="str">
        <x:v>10.7554/eLife.85243</x:v>
      </x:c>
      <x:c r="Q33" s="24" t="str">
        <x:v>https://pmc.ncbi.nlm.nih.gov/articles/PMC10174689/</x:v>
      </x:c>
      <x:c r="R33" s="4" t="str">
        <x:v>未读</x:v>
      </x:c>
    </x:row>
    <x:row r="34" ht="112" customHeight="1">
      <x:c r="A34" s="22" t="str">
        <x:v>C08</x:v>
      </x:c>
      <x:c r="B34" s="4" t="str">
        <x:v>Striatal dopamine can enhance both fast working memory, and slow reinforcement learning, while reducing implicit effort cost sensitivity</x:v>
      </x:c>
      <x:c r="C34" s="4" t="str">
        <x:v>2025</x:v>
      </x:c>
      <x:c r="D34" s="4" t="str">
        <x:v>Nature Communications</x:v>
      </x:c>
      <x:c r="E34" s="4" t="str">
        <x:v>Westbrook et al.</x:v>
      </x:c>
      <x:c r="F34" s="4" t="str">
        <x:v>奖励学习、决策偏差与记忆</x:v>
      </x:c>
      <x:c r="G34" s="4" t="str">
        <x:v>N｜行为＋PET＋药理干预</x:v>
      </x:c>
      <x:c r="H34" s="4" t="str">
        <x:v>RLWM任务；PET、药理干预与负荷/延迟操纵</x:v>
      </x:c>
      <x:c r="I34" s="4" t="str">
        <x:v>RLWM模型与努力成本参数</x:v>
      </x:c>
      <x:c r="J34" s="4" t="str">
        <x:v>同一神经调节因素可影响快记忆、慢学习和成本敏感性等不同成分</x:v>
      </x:c>
      <x:c r="K34" s="4" t="str">
        <x:v>不把一个总绩效效应直接等同于单一认知系统变化</x:v>
      </x:c>
      <x:c r="L34" s="4" t="str">
        <x:v>药物干预支持部分因果推断；PET基线关联和参数解释应分开</x:v>
      </x:c>
      <x:c r="M34" s="4" t="str">
        <x:v>N=100</x:v>
      </x:c>
      <x:c r="N34" s="4" t="str">
        <x:v>延伸</x:v>
      </x:c>
      <x:c r="O34" s="4" t="str">
        <x:v>主文相关段落与PDF首页</x:v>
      </x:c>
      <x:c r="P34" s="4" t="str">
        <x:v>10.1038/s41467-025-61099-0</x:v>
      </x:c>
      <x:c r="Q34" s="24" t="str">
        <x:v>https://www.nature.com/articles/s41467-025-61099-0</x:v>
      </x:c>
      <x:c r="R34" s="4" t="str">
        <x:v>未读</x:v>
      </x:c>
    </x:row>
    <x:row r="35" ht="112" customHeight="1">
      <x:c r="A35" s="22" t="str">
        <x:v>C09</x:v>
      </x:c>
      <x:c r="B35" s="4" t="str">
        <x:v>Dopamine promotes cognitive effort by biasing the benefits versus costs of cognitive work</x:v>
      </x:c>
      <x:c r="C35" s="4" t="str">
        <x:v>2020</x:v>
      </x:c>
      <x:c r="D35" s="4" t="str">
        <x:v>Science</x:v>
      </x:c>
      <x:c r="E35" s="4" t="str">
        <x:v>Westbrook et al.</x:v>
      </x:c>
      <x:c r="F35" s="4" t="str">
        <x:v>奖励学习、决策偏差与记忆</x:v>
      </x:c>
      <x:c r="G35" s="4" t="str">
        <x:v>N｜行为＋PET＋药理干预</x:v>
      </x:c>
      <x:c r="H35" s="4" t="str">
        <x:v>认知努力与奖励权衡；PET、药理及眼动</x:v>
      </x:c>
      <x:c r="I35" s="4" t="str">
        <x:v>收益—成本加权与序贯采样模型</x:v>
      </x:c>
      <x:c r="J35" s="4" t="str">
        <x:v>认知投入增加可源于收益/成本权重改变，而不只是能力提升</x:v>
      </x:c>
      <x:c r="K35" s="4" t="str">
        <x:v>把‘能不能做到’与‘愿不愿意付出’拆开</x:v>
      </x:c>
      <x:c r="L35" s="4" t="str">
        <x:v>不应据此推断一般性智力提升或给出用药建议</x:v>
      </x:c>
      <x:c r="M35" s="4" t="str">
        <x:v>未逐实验核对</x:v>
      </x:c>
      <x:c r="N35" s="4" t="str">
        <x:v>优先精读</x:v>
      </x:c>
      <x:c r="O35" s="4" t="str">
        <x:v>摘要与书目信息</x:v>
      </x:c>
      <x:c r="P35" s="4" t="str">
        <x:v>10.1126/science.aaz5891</x:v>
      </x:c>
      <x:c r="Q35" s="24" t="str">
        <x:v>https://pubmed.ncbi.nlm.nih.gov/32193325/</x:v>
      </x:c>
      <x:c r="R35" s="4" t="str">
        <x:v>未读</x:v>
      </x:c>
    </x:row>
    <x:row r="36" ht="112" customHeight="1">
      <x:c r="A36" s="22" t="str">
        <x:v>C10</x:v>
      </x:c>
      <x:c r="B36" s="4" t="str">
        <x:v>Two time scales of adaptation in human learning rates</x:v>
      </x:c>
      <x:c r="C36" s="4" t="str">
        <x:v>2026</x:v>
      </x:c>
      <x:c r="D36" s="4" t="str">
        <x:v>eLife</x:v>
      </x:c>
      <x:c r="E36" s="4" t="str">
        <x:v>Simoens et al.</x:v>
      </x:c>
      <x:c r="F36" s="4" t="str">
        <x:v>奖励学习、决策偏差与记忆</x:v>
      </x:c>
      <x:c r="G36" s="4" t="str">
        <x:v>N｜行为实验＋人类fMRI</x:v>
      </x:c>
      <x:c r="H36" s="4" t="str">
        <x:v>多岛屿连续估计任务；环境噪声与区块内学习；fMRI</x:v>
      </x:c>
      <x:c r="I36" s="4" t="str">
        <x:v>恒定、衰减及贝叶斯式学习率模型；环境特异性比较</x:v>
      </x:c>
      <x:c r="J36" s="4" t="str">
        <x:v>局部快速调整与跨环境慢速元学习可被经验上分离</x:v>
      </x:c>
      <x:c r="K36" s="4" t="str">
        <x:v>不是再报告学习率变化，而是解释变化来自哪个时间尺度</x:v>
      </x:c>
      <x:c r="L36" s="4" t="str">
        <x:v>VOR 2026-07-22，次日更新；2025版为评审预印本</x:v>
      </x:c>
      <x:c r="M36" s="4" t="str">
        <x:v>2项实验；fMRI相关分析N=49，勿当全文总N</x:v>
      </x:c>
      <x:c r="N36" s="4" t="str">
        <x:v>延伸</x:v>
      </x:c>
      <x:c r="O36" s="4" t="str">
        <x:v>主文方法、恢复检验与版本信息</x:v>
      </x:c>
      <x:c r="P36" s="4" t="str">
        <x:v>10.7554/eLife.108223</x:v>
      </x:c>
      <x:c r="Q36" s="24" t="str">
        <x:v>https://elifesciences.org/articles/108223</x:v>
      </x:c>
      <x:c r="R36" s="4" t="str">
        <x:v>未读</x:v>
      </x:c>
    </x:row>
    <x:row r="37" ht="112" customHeight="1">
      <x:c r="A37" s="22" t="str">
        <x:v>D01</x:v>
      </x:c>
      <x:c r="B37" s="4" t="str">
        <x:v>A rational model of the Dunning–Kruger effect supports insensitivity to evidence in low performers</x:v>
      </x:c>
      <x:c r="C37" s="4" t="str">
        <x:v>2021</x:v>
      </x:c>
      <x:c r="D37" s="4" t="str">
        <x:v>Nature Human Behaviour</x:v>
      </x:c>
      <x:c r="E37" s="4" t="str">
        <x:v>Jansen, Rafferty &amp; Griffiths</x:v>
      </x:c>
      <x:c r="F37" s="4" t="str">
        <x:v>元认知与个体/状态差异</x:v>
      </x:c>
      <x:c r="G37" s="4" t="str">
        <x:v>B｜新行为实验</x:v>
      </x:c>
      <x:c r="H37" s="4" t="str">
        <x:v>语法和逻辑成绩判断；检验自评与实际表现</x:v>
      </x:c>
      <x:c r="I37" s="4" t="str">
        <x:v>贝叶斯理性模型：区分先验与证据敏感性</x:v>
      </x:c>
      <x:c r="J37" s="4" t="str">
        <x:v>低表现者的自评特点更支持证据不敏感，而非仅先验不同</x:v>
      </x:c>
      <x:c r="K37" s="4" t="str">
        <x:v>相同总体现象可以有不同来源，需把竞争解释写成模型</x:v>
      </x:c>
      <x:c r="L37" s="4" t="str">
        <x:v>不是证明所有Dunning–Kruger现象都只有一个原因</x:v>
      </x:c>
      <x:c r="M37" s="4" t="str">
        <x:v>2项研究，每项约4,000人</x:v>
      </x:c>
      <x:c r="N37" s="4" t="str">
        <x:v>延伸</x:v>
      </x:c>
      <x:c r="O37" s="4" t="str">
        <x:v>摘要与书目信息</x:v>
      </x:c>
      <x:c r="P37" s="4" t="str">
        <x:v>10.1038/s41562-021-01057-0</x:v>
      </x:c>
      <x:c r="Q37" s="24" t="str">
        <x:v>https://www.nature.com/articles/s41562-021-01057-0</x:v>
      </x:c>
      <x:c r="R37" s="4" t="str">
        <x:v>未读</x:v>
      </x:c>
    </x:row>
    <x:row r="38" ht="112" customHeight="1">
      <x:c r="A38" s="22" t="str">
        <x:v>D02</x:v>
      </x:c>
      <x:c r="B38" s="4" t="str">
        <x:v>Dynamic influences on static measures of metacognition</x:v>
      </x:c>
      <x:c r="C38" s="4" t="str">
        <x:v>2022</x:v>
      </x:c>
      <x:c r="D38" s="4" t="str">
        <x:v>Nature Communications</x:v>
      </x:c>
      <x:c r="E38" s="4" t="str">
        <x:v>Desender, Vermeylen &amp; Verguts</x:v>
      </x:c>
      <x:c r="F38" s="4" t="str">
        <x:v>元认知与个体/状态差异</x:v>
      </x:c>
      <x:c r="G38" s="4" t="str">
        <x:v>M｜新实验＋4个既有数据集</x:v>
      </x:c>
      <x:c r="H38" s="4" t="str">
        <x:v>速度/准确性要求下的知觉与信心报告；既有数据复核</x:v>
      </x:c>
      <x:c r="I38" s="4" t="str">
        <x:v>证据积累模型及动态元认知指标</x:v>
      </x:c>
      <x:c r="J38" s="4" t="str">
        <x:v>响应谨慎程度可改变静态M-ratio，不必意味着元认知能力改变</x:v>
      </x:c>
      <x:c r="K38" s="4" t="str">
        <x:v>把测量指标的变化和被测能力的变化区分开</x:v>
      </x:c>
      <x:c r="L38" s="4" t="str">
        <x:v>新指标也依赖动力学模型；不是说所有M-ratio结果无效</x:v>
      </x:c>
      <x:c r="M38" s="4" t="str">
        <x:v>未逐实验核对</x:v>
      </x:c>
      <x:c r="N38" s="4" t="str">
        <x:v>优先精读</x:v>
      </x:c>
      <x:c r="O38" s="4" t="str">
        <x:v>摘要与主文相关段落</x:v>
      </x:c>
      <x:c r="P38" s="4" t="str">
        <x:v>10.1038/s41467-022-31727-0</x:v>
      </x:c>
      <x:c r="Q38" s="24" t="str">
        <x:v>https://www.nature.com/articles/s41467-022-31727-0</x:v>
      </x:c>
      <x:c r="R38" s="4" t="str">
        <x:v>未读</x:v>
      </x:c>
    </x:row>
    <x:row r="39" ht="112" customHeight="1">
      <x:c r="A39" s="22" t="str">
        <x:v>D03</x:v>
      </x:c>
      <x:c r="B39" s="4" t="str">
        <x:v>Neural and computational underpinnings of biased confidence in human reinforcement learning</x:v>
      </x:c>
      <x:c r="C39" s="4" t="str">
        <x:v>2023</x:v>
      </x:c>
      <x:c r="D39" s="4" t="str">
        <x:v>Nature Communications</x:v>
      </x:c>
      <x:c r="E39" s="4" t="str">
        <x:v>Ting et al.</x:v>
      </x:c>
      <x:c r="F39" s="4" t="str">
        <x:v>元认知与个体/状态差异</x:v>
      </x:c>
      <x:c r="G39" s="4" t="str">
        <x:v>N｜行为＋人类神经数据</x:v>
      </x:c>
      <x:c r="H39" s="4" t="str">
        <x:v>奖励/避免损失条件中的学习和信心；fMRI</x:v>
      </x:c>
      <x:c r="I39" s="4" t="str">
        <x:v>学习与信心模型及神经编码比较</x:v>
      </x:c>
      <x:c r="J39" s="4" t="str">
        <x:v>信心与绩效、价值不完全重合，且受情境效价影响</x:v>
      </x:c>
      <x:c r="K39" s="4" t="str">
        <x:v>利用一个有方向的偏差分离高度相关的潜在变量</x:v>
      </x:c>
      <x:c r="L39" s="4" t="str">
        <x:v>神经相关和模型回归量比较不直接证明因果实现</x:v>
      </x:c>
      <x:c r="M39" s="4" t="str">
        <x:v>未逐实验核对</x:v>
      </x:c>
      <x:c r="N39" s="4" t="str">
        <x:v>延伸</x:v>
      </x:c>
      <x:c r="O39" s="4" t="str">
        <x:v>摘要与主文相关段落</x:v>
      </x:c>
      <x:c r="P39" s="4" t="str">
        <x:v>10.1038/s41467-023-42589-5</x:v>
      </x:c>
      <x:c r="Q39" s="24" t="str">
        <x:v>https://www.nature.com/articles/s41467-023-42589-5</x:v>
      </x:c>
      <x:c r="R39" s="4" t="str">
        <x:v>未读</x:v>
      </x:c>
    </x:row>
    <x:row r="40" ht="112" customHeight="1">
      <x:c r="A40" s="22" t="str">
        <x:v>D04</x:v>
      </x:c>
      <x:c r="B40" s="4" t="str">
        <x:v>Distorted learning from local metacognition supports transdiagnostic underconfidence</x:v>
      </x:c>
      <x:c r="C40" s="4" t="str">
        <x:v>2025</x:v>
      </x:c>
      <x:c r="D40" s="4" t="str">
        <x:v>Nature Communications</x:v>
      </x:c>
      <x:c r="E40" s="4" t="str">
        <x:v>Katyal, Huys, Dolan &amp; Fleming</x:v>
      </x:c>
      <x:c r="F40" s="4" t="str">
        <x:v>元认知与个体/状态差异</x:v>
      </x:c>
      <x:c r="G40" s="4" t="str">
        <x:v>B｜新行为实验＋症状维度</x:v>
      </x:c>
      <x:c r="H40" s="4" t="str">
        <x:v>局部信心、全局自评与外部反馈；跨诊断症状维度</x:v>
      </x:c>
      <x:c r="I40" s="4" t="str">
        <x:v>从局部元认知更新全局信念的计算模型</x:v>
      </x:c>
      <x:c r="J40" s="4" t="str">
        <x:v>低自信可源于利用积极局部证据的方式，而不是所有证据都感知不足</x:v>
      </x:c>
      <x:c r="K40" s="4" t="str">
        <x:v>把看似静态的自我评价转成可追踪的学习过程</x:v>
      </x:c>
      <x:c r="L40" s="4" t="str">
        <x:v>一般人群关联研究，不是临床诊断或病因证明</x:v>
      </x:c>
      <x:c r="M40" s="4" t="str">
        <x:v>两个人群样本N=230、278</x:v>
      </x:c>
      <x:c r="N40" s="4" t="str">
        <x:v>优先精读</x:v>
      </x:c>
      <x:c r="O40" s="4" t="str">
        <x:v>摘要与主文相关段落</x:v>
      </x:c>
      <x:c r="P40" s="4" t="str">
        <x:v>10.1038/s41467-025-57040-0</x:v>
      </x:c>
      <x:c r="Q40" s="24" t="str">
        <x:v>https://www.nature.com/articles/s41467-025-57040-0</x:v>
      </x:c>
      <x:c r="R40" s="4" t="str">
        <x:v>未读</x:v>
      </x:c>
    </x:row>
    <x:row r="41" ht="112" customHeight="1">
      <x:c r="A41" s="22" t="str">
        <x:v>D05</x:v>
      </x:c>
      <x:c r="B41" s="4" t="str">
        <x:v>Dynamic computational phenotyping of human cognition</x:v>
      </x:c>
      <x:c r="C41" s="4" t="str">
        <x:v>2024</x:v>
      </x:c>
      <x:c r="D41" s="4" t="str">
        <x:v>Nature Human Behaviour</x:v>
      </x:c>
      <x:c r="E41" s="4" t="str">
        <x:v>Schurr et al.</x:v>
      </x:c>
      <x:c r="F41" s="4" t="str">
        <x:v>元认知与个体/状态差异</x:v>
      </x:c>
      <x:c r="G41" s="4" t="str">
        <x:v>B｜纵向行为实验</x:v>
      </x:c>
      <x:c r="H41" s="4" t="str">
        <x:v>12周重复测量，7项认知任务，并记录情绪/唤醒</x:v>
      </x:c>
      <x:c r="I41" s="4" t="str">
        <x:v>动态计算表型；分离练习、状态与个体差异</x:v>
      </x:c>
      <x:c r="J41" s="4" t="str">
        <x:v>参数的不稳定中有可解释的系统性变化，而不全是噪声</x:v>
      </x:c>
      <x:c r="K41" s="4" t="str">
        <x:v>将‘低可靠性’改写为‘尚未建模的动态过程’</x:v>
      </x:c>
      <x:c r="L41" s="4" t="str">
        <x:v>状态关联不等于因果；剩余测量误差仍存在</x:v>
      </x:c>
      <x:c r="M41" s="4" t="str">
        <x:v>N=90；每周一次，共12周；7项任务</x:v>
      </x:c>
      <x:c r="N41" s="4" t="str">
        <x:v>优先精读</x:v>
      </x:c>
      <x:c r="O41" s="4" t="str">
        <x:v>主文结果与测量设计</x:v>
      </x:c>
      <x:c r="P41" s="4" t="str">
        <x:v>10.1038/s41562-024-01814-x</x:v>
      </x:c>
      <x:c r="Q41" s="24" t="str">
        <x:v>https://www.nature.com/articles/s41562-024-01814-x</x:v>
      </x:c>
      <x:c r="R41" s="4" t="str">
        <x:v>未读</x:v>
      </x:c>
    </x:row>
    <x:row r="42" ht="112" customHeight="1">
      <x:c r="A42" s="22" t="str">
        <x:v>E01</x:v>
      </x:c>
      <x:c r="B42" s="4" t="str">
        <x:v>Feature-based reward learning shapes human social learning strategies</x:v>
      </x:c>
      <x:c r="C42" s="4" t="str">
        <x:v>2025</x:v>
      </x:c>
      <x:c r="D42" s="4" t="str">
        <x:v>Nature Human Behaviour</x:v>
      </x:c>
      <x:c r="E42" s="4" t="str">
        <x:v>Schultner, Molleman &amp; Lindström</x:v>
      </x:c>
      <x:c r="F42" s="4" t="str">
        <x:v>社会学习、教学与社会决策</x:v>
      </x:c>
      <x:c r="G42" s="4" t="str">
        <x:v>B：新行为实验</x:v>
      </x:c>
      <x:c r="H42" s="4" t="str">
        <x:v>六项实验操纵社会信息特征与奖励关系，考察复制多数、成功者等策略的形成。</x:v>
      </x:c>
      <x:c r="I42" s="4" t="str">
        <x:v>基于社会特征的奖励学习；与固定社会学习启发式比较。</x:v>
      </x:c>
      <x:c r="J42" s="4" t="str">
        <x:v>看似不同的社会学习策略，可以由对社会特征的奖励学习产生和改变。</x:v>
      </x:c>
      <x:c r="K42" s="4" t="str">
        <x:v>把一串既有策略压缩为共同学习原则：不是再增加一种策略，而是解释策略如何形成。</x:v>
      </x:c>
      <x:c r="L42" s="4" t="str">
        <x:v>结论针对被操纵的社会信息与奖励环境，不证明所有社会学习均由同一规则产生。</x:v>
      </x:c>
      <x:c r="M42" s="4" t="str">
        <x:v>六项实验，总N=1,941；各实验纳排未逐项复核</x:v>
      </x:c>
      <x:c r="N42" s="4" t="str">
        <x:v>优先精读</x:v>
      </x:c>
      <x:c r="O42" s="4" t="str">
        <x:v>全文相关结果与书目信息</x:v>
      </x:c>
      <x:c r="P42" s="4" t="str">
        <x:v>10.1038/s41562-025-02269-4</x:v>
      </x:c>
      <x:c r="Q42" s="24" t="str">
        <x:v>https://www.nature.com/articles/s41562-025-02269-4</x:v>
      </x:c>
      <x:c r="R42" s="4" t="str">
        <x:v>未读</x:v>
      </x:c>
    </x:row>
    <x:row r="43" ht="112" customHeight="1">
      <x:c r="A43" s="22" t="str">
        <x:v>E02</x:v>
      </x:c>
      <x:c r="B43" s="4" t="str">
        <x:v>Flexible social inference facilitates targeted social learning when rewards are not observable</x:v>
      </x:c>
      <x:c r="C43" s="4" t="str">
        <x:v>2023</x:v>
      </x:c>
      <x:c r="D43" s="4" t="str">
        <x:v>Nature Human Behaviour</x:v>
      </x:c>
      <x:c r="E43" s="4" t="str">
        <x:v>Hawkins et al.</x:v>
      </x:c>
      <x:c r="F43" s="4" t="str">
        <x:v>社会学习、教学与社会决策</x:v>
      </x:c>
      <x:c r="G43" s="4" t="str">
        <x:v>B：新行为实验</x:v>
      </x:c>
      <x:c r="H43" s="4" t="str">
        <x:v>三项集体感知/搜索实验，个体看不到他人的奖励，但可以观察其行动；包括人工代理与不同奖励分布。</x:v>
      </x:c>
      <x:c r="I43" s="4" t="str">
        <x:v>社会推断/逆向规划，与直接模仿等启发式比较。</x:v>
      </x:c>
      <x:c r="J43" s="4" t="str">
        <x:v>人们利用他人行动推断其知识，选择性地采纳有用的社会信息。</x:v>
      </x:c>
      <x:c r="K43" s="4" t="str">
        <x:v>把‘复制别人’升级为‘推断别人知道什么’，用不可见奖励拆开模仿与推断。</x:v>
      </x:c>
      <x:c r="L43" s="4" t="str">
        <x:v>不是所有合作情境的普遍模型；推断模型仍依赖观察者对他人的假设。</x:v>
      </x:c>
      <x:c r="M43" s="4" t="str">
        <x:v>未逐实验核对</x:v>
      </x:c>
      <x:c r="N43" s="4" t="str">
        <x:v>优先精读</x:v>
      </x:c>
      <x:c r="O43" s="4" t="str">
        <x:v>全文相关结果与书目信息</x:v>
      </x:c>
      <x:c r="P43" s="4" t="str">
        <x:v>10.1038/s41562-023-01682-x</x:v>
      </x:c>
      <x:c r="Q43" s="24" t="str">
        <x:v>https://www.nature.com/articles/s41562-023-01682-x</x:v>
      </x:c>
      <x:c r="R43" s="4" t="str">
        <x:v>未读</x:v>
      </x:c>
    </x:row>
    <x:row r="44" ht="112" customHeight="1">
      <x:c r="A44" s="22" t="str">
        <x:v>E03</x:v>
      </x:c>
      <x:c r="B44" s="4" t="str">
        <x:v>Adaptive mechanisms of social and asocial learning in immersive collective foraging</x:v>
      </x:c>
      <x:c r="C44" s="4" t="str">
        <x:v>2025</x:v>
      </x:c>
      <x:c r="D44" s="4" t="str">
        <x:v>Nature Communications</x:v>
      </x:c>
      <x:c r="E44" s="4" t="str">
        <x:v>Wu et al.</x:v>
      </x:c>
      <x:c r="F44" s="4" t="str">
        <x:v>社会学习、教学与社会决策</x:v>
      </x:c>
      <x:c r="G44" s="4" t="str">
        <x:v>B：新交互行为实验</x:v>
      </x:c>
      <x:c r="H44" s="4" t="str">
        <x:v>Minecraft沉浸式集体觅食；记录轨迹、可见信息及自身觅食成功，比较社会/非社会信息使用。</x:v>
      </x:c>
      <x:c r="I44" s="4" t="str">
        <x:v>连续行为与信息可见性模型，检验社会和非社会学习机制。</x:v>
      </x:c>
      <x:c r="J44" s="4" t="str">
        <x:v>自然化环境中信息利用的调整，与自身觅食成败密切相关，并不只是响应他人线索。</x:v>
      </x:c>
      <x:c r="K44" s="4" t="str">
        <x:v>从简化任务迁移到接近自然行为的场景，同时保留对信息可获得性的测量。</x:v>
      </x:c>
      <x:c r="L44" s="4" t="str">
        <x:v>存在2025年6月20日作者更正；本表未逐项重审更正及全部补充分析。</x:v>
      </x:c>
      <x:c r="M44" s="4" t="str">
        <x:v>未逐实验核对</x:v>
      </x:c>
      <x:c r="N44" s="4" t="str">
        <x:v>延伸</x:v>
      </x:c>
      <x:c r="O44" s="4" t="str">
        <x:v>全文相关结果与书目信息</x:v>
      </x:c>
      <x:c r="P44" s="4" t="str">
        <x:v>10.1038/s41467-025-58365-6</x:v>
      </x:c>
      <x:c r="Q44" s="24" t="str">
        <x:v>https://www.nature.com/articles/s41467-025-58365-6</x:v>
      </x:c>
      <x:c r="R44" s="4" t="str">
        <x:v>未读</x:v>
      </x:c>
    </x:row>
    <x:row r="45" ht="112" customHeight="1">
      <x:c r="A45" s="22" t="str">
        <x:v>E04</x:v>
      </x:c>
      <x:c r="B45" s="4" t="str">
        <x:v>Collective incentives reduce over-exploitation of social information in unconstrained human groups</x:v>
      </x:c>
      <x:c r="C45" s="4" t="str">
        <x:v>2024</x:v>
      </x:c>
      <x:c r="D45" s="4" t="str">
        <x:v>Nature Communications</x:v>
      </x:c>
      <x:c r="E45" s="4" t="str">
        <x:v>Deffner et al.</x:v>
      </x:c>
      <x:c r="F45" s="4" t="str">
        <x:v>社会学习、教学与社会决策</x:v>
      </x:c>
      <x:c r="G45" s="4" t="str">
        <x:v>B：新交互行为实验</x:v>
      </x:c>
      <x:c r="H45" s="4" t="str">
        <x:v>沉浸式集体觅食；资源空间分布×个人/集体奖励，分析个体探索、跟随和群体表现。</x:v>
      </x:c>
      <x:c r="I45" s="4" t="str">
        <x:v>Social Hidden Markov Decision模型，分解连续轨迹中的行为状态与决策。</x:v>
      </x:c>
      <x:c r="J45" s="4" t="str">
        <x:v>个体过度使用社会信息可损害群体；集体激励减少这种过度利用。</x:v>
      </x:c>
      <x:c r="K45" s="4" t="str">
        <x:v>制造跨层次张力：个人眼中的合理策略，为什么会成为群体层面的低效？再用激励操纵检验。</x:v>
      </x:c>
      <x:c r="L45" s="4" t="str">
        <x:v>群体收益依赖资源结构和激励；不是‘社会学习总是有害’。</x:v>
      </x:c>
      <x:c r="M45" s="4" t="str">
        <x:v>未逐实验核对</x:v>
      </x:c>
      <x:c r="N45" s="4" t="str">
        <x:v>优先精读</x:v>
      </x:c>
      <x:c r="O45" s="4" t="str">
        <x:v>全文相关结果与书目信息</x:v>
      </x:c>
      <x:c r="P45" s="4" t="str">
        <x:v>10.1038/s41467-024-47010-3</x:v>
      </x:c>
      <x:c r="Q45" s="24" t="str">
        <x:v>https://www.nature.com/articles/s41467-024-47010-3</x:v>
      </x:c>
      <x:c r="R45" s="4" t="str">
        <x:v>未读</x:v>
      </x:c>
    </x:row>
    <x:row r="46" ht="112" customHeight="1">
      <x:c r="A46" s="22" t="str">
        <x:v>E05</x:v>
      </x:c>
      <x:c r="B46" s="4" t="str">
        <x:v>The motive cocktail in altruistic behaviors</x:v>
      </x:c>
      <x:c r="C46" s="4" t="str">
        <x:v>2024</x:v>
      </x:c>
      <x:c r="D46" s="4" t="str">
        <x:v>Nature Computational Science</x:v>
      </x:c>
      <x:c r="E46" s="4" t="str">
        <x:v>Wu, Ren, Liu &amp; Zhang</x:v>
      </x:c>
      <x:c r="F46" s="4" t="str">
        <x:v>社会学习、教学与社会决策</x:v>
      </x:c>
      <x:c r="G46" s="4" t="str">
        <x:v>B：新行为实验</x:v>
      </x:c>
      <x:c r="H46" s="4" t="str">
        <x:v>帮助和惩罚等约100种社会情境；实验室研究与预注册在线验证。</x:v>
      </x:c>
      <x:c r="I46" s="4" t="str">
        <x:v>七类社会动机的效用组合，与较少动机的解释比较；设计区分相关动机。</x:v>
      </x:c>
      <x:c r="J46" s="4" t="str">
        <x:v>同样的利他行为可以来自不同动机组合，多种行为可纳入同一效用框架。</x:v>
      </x:c>
      <x:c r="K46" s="4" t="str">
        <x:v>不把一种可见行为等同于一种心理动机；用诊断性情境拆分看似相同的行为来源。</x:v>
      </x:c>
      <x:c r="L46" s="4" t="str">
        <x:v>动机数目与解释取决于候选模型和任务覆盖，不能据此认定唯一的心理成分列表。</x:v>
      </x:c>
      <x:c r="M46" s="4" t="str">
        <x:v>实验室N=157；预注册在线N=1,258</x:v>
      </x:c>
      <x:c r="N46" s="4" t="str">
        <x:v>优先精读</x:v>
      </x:c>
      <x:c r="O46" s="4" t="str">
        <x:v>摘要、相关方法与书目信息</x:v>
      </x:c>
      <x:c r="P46" s="4" t="str">
        <x:v>10.1038/s43588-024-00685-6</x:v>
      </x:c>
      <x:c r="Q46" s="24" t="str">
        <x:v>https://www.nature.com/articles/s43588-024-00685-6</x:v>
      </x:c>
      <x:c r="R46" s="4" t="str">
        <x:v>未读</x:v>
      </x:c>
    </x:row>
    <x:row r="47" ht="112" customHeight="1">
      <x:c r="A47" s="22" t="str">
        <x:v>E06</x:v>
      </x:c>
      <x:c r="B47" s="4" t="str">
        <x:v>Teachers recruit mentalizing regions to represent learners’ beliefs</x:v>
      </x:c>
      <x:c r="C47" s="4" t="str">
        <x:v>2023</x:v>
      </x:c>
      <x:c r="D47" s="4" t="str">
        <x:v>PNAS</x:v>
      </x:c>
      <x:c r="E47" s="4" t="str">
        <x:v>Vélez et al.</x:v>
      </x:c>
      <x:c r="F47" s="4" t="str">
        <x:v>社会学习、教学与社会决策</x:v>
      </x:c>
      <x:c r="G47" s="4" t="str">
        <x:v>N：人类行为＋神经数据</x:v>
      </x:c>
      <x:c r="H47" s="4" t="str">
        <x:v>教学者为学习者选择信息/示例，结合脑成像检验对学习者信念的表征。</x:v>
      </x:c>
      <x:c r="I47" s="4" t="str">
        <x:v>计算教学/学习者信念模型，将教学选择与潜在信念及神经信号联系。</x:v>
      </x:c>
      <x:c r="J47" s="4" t="str">
        <x:v>有效教学涉及对学习者相信什么的表征，而不只是呈现自己认为显著的信息。</x:v>
      </x:c>
      <x:c r="K47" s="4" t="str">
        <x:v>把‘会教’分解为对他人知识状态的建模，再寻找行为与神经的对应证据。</x:v>
      </x:c>
      <x:c r="L47" s="4" t="str">
        <x:v>脑区与模型变量的对应不等于教学依赖该脑区的因果证明。</x:v>
      </x:c>
      <x:c r="M47" s="4" t="str">
        <x:v>未逐实验核对</x:v>
      </x:c>
      <x:c r="N47" s="4" t="str">
        <x:v>延伸</x:v>
      </x:c>
      <x:c r="O47" s="4" t="str">
        <x:v>摘要与书目信息</x:v>
      </x:c>
      <x:c r="P47" s="4" t="str">
        <x:v>10.1073/pnas.2215015120</x:v>
      </x:c>
      <x:c r="Q47" s="24" t="str">
        <x:v>https://pubmed.ncbi.nlm.nih.gov/37216526/</x:v>
      </x:c>
      <x:c r="R47" s="4" t="str">
        <x:v>未读</x:v>
      </x:c>
    </x:row>
    <x:row r="48" ht="112" customHeight="1">
      <x:c r="A48" s="22" t="str">
        <x:v>E07</x:v>
      </x:c>
      <x:c r="B48" s="4" t="str">
        <x:v>Learning rules of engagement for social exchange within and between groups</x:v>
      </x:c>
      <x:c r="C48" s="4" t="str">
        <x:v>2023</x:v>
      </x:c>
      <x:c r="D48" s="4" t="str">
        <x:v>PNAS</x:v>
      </x:c>
      <x:c r="E48" s="4" t="str">
        <x:v>Rojek et al.</x:v>
      </x:c>
      <x:c r="F48" s="4" t="str">
        <x:v>社会学习、教学与社会决策</x:v>
      </x:c>
      <x:c r="G48" s="4" t="str">
        <x:v>N：新行为实验＋fMRI</x:v>
      </x:c>
      <x:c r="H48" s="4" t="str">
        <x:v>群内/群际社会交换与议价，学习他人的接受规则；预注册行为与fMRI实验。</x:v>
      </x:c>
      <x:c r="I48" s="4" t="str">
        <x:v>贝叶斯学习＋不平等厌恶，将规范推断与自身社会偏好区分。</x:v>
      </x:c>
      <x:c r="J48" s="4" t="str">
        <x:v>自身偏好影响提出的报价，进而影响可见反馈和学到的社会规则。</x:v>
      </x:c>
      <x:c r="K48" s="4" t="str">
        <x:v>把偏见讲成一个反馈回路：偏好改变采样，采样再改变信念；成交成功不等于准确理解别人。</x:v>
      </x:c>
      <x:c r="L48" s="4" t="str">
        <x:v>偏好、采样与推断的解释须在相应任务结构内理解。</x:v>
      </x:c>
      <x:c r="M48" s="4" t="str">
        <x:v>预注册行为N=420；fMRI N=49</x:v>
      </x:c>
      <x:c r="N48" s="4" t="str">
        <x:v>延伸</x:v>
      </x:c>
      <x:c r="O48" s="4" t="str">
        <x:v>摘要与作者机构书目信息</x:v>
      </x:c>
      <x:c r="P48" s="4" t="str">
        <x:v>10.1073/pnas.2218443120</x:v>
      </x:c>
      <x:c r="Q48" s="24" t="str">
        <x:v>https://www.pnas.org/doi/10.1073/pnas.2218443120</x:v>
      </x:c>
      <x:c r="R48" s="4" t="str">
        <x:v>未读</x:v>
      </x:c>
    </x:row>
    <x:row r="49" ht="112" customHeight="1">
      <x:c r="A49" s="22" t="str">
        <x:v>E08</x:v>
      </x:c>
      <x:c r="B49" s="4" t="str">
        <x:v>Conformist social learning leads to self-organised prevention against adverse bias in risky decision making</x:v>
      </x:c>
      <x:c r="C49" s="4" t="str">
        <x:v>2022</x:v>
      </x:c>
      <x:c r="D49" s="4" t="str">
        <x:v>eLife</x:v>
      </x:c>
      <x:c r="E49" s="4" t="str">
        <x:v>Toyokawa &amp; Gaissmaier</x:v>
      </x:c>
      <x:c r="F49" s="4" t="str">
        <x:v>社会学习、教学与社会决策</x:v>
      </x:c>
      <x:c r="G49" s="4" t="str">
        <x:v>B：新交互行为实验</x:v>
      </x:c>
      <x:c r="H49" s="4" t="str">
        <x:v>交互群体中的风险选择/搜索，考察社会影响对探索不足与风险偏差的作用。</x:v>
      </x:c>
      <x:c r="I49" s="4" t="str">
        <x:v>强化学习、从众学习与群体动态模型。</x:v>
      </x:c>
      <x:c r="J49" s="4" t="str">
        <x:v>从众在特定互动环境下可以抑制个体的不利风险偏差，而非必然放大错误。</x:v>
      </x:c>
      <x:c r="K49" s="4" t="str">
        <x:v>反转常见价值判断：看似非理性的从众，可能通过群体反馈改善决策。</x:v>
      </x:c>
      <x:c r="L49" s="4" t="str">
        <x:v>改善依赖环境与互动动态，不能普遍推导‘从众更理性’。</x:v>
      </x:c>
      <x:c r="M49" s="4" t="str">
        <x:v>报告人类实验N=585；具体独立分析样本未逐项核对</x:v>
      </x:c>
      <x:c r="N49" s="4" t="str">
        <x:v>延伸</x:v>
      </x:c>
      <x:c r="O49" s="4" t="str">
        <x:v>摘要与书目信息</x:v>
      </x:c>
      <x:c r="P49" s="4" t="str">
        <x:v>10.7554/eLife.75308</x:v>
      </x:c>
      <x:c r="Q49" s="24" t="str">
        <x:v>https://elifesciences.org/articles/75308</x:v>
      </x:c>
      <x:c r="R49" s="4" t="str">
        <x:v>未读</x:v>
      </x:c>
    </x:row>
    <x:row r="50" ht="112" customHeight="1">
      <x:c r="A50" s="22" t="str">
        <x:v>E09</x:v>
      </x:c>
      <x:c r="B50" s="4" t="str">
        <x:v>A neural signature of adaptive mentalization</x:v>
      </x:c>
      <x:c r="C50" s="4" t="str">
        <x:v>2026</x:v>
      </x:c>
      <x:c r="D50" s="4" t="str">
        <x:v>Nature Neuroscience</x:v>
      </x:c>
      <x:c r="E50" s="4" t="str">
        <x:v>Buergi, Aydogan, Konovalov &amp; Ruff</x:v>
      </x:c>
      <x:c r="F50" s="4" t="str">
        <x:v>社会学习、教学与社会决策</x:v>
      </x:c>
      <x:c r="G50" s="4" t="str">
        <x:v>N：新行为实验＋fMRI</x:v>
      </x:c>
      <x:c r="H50" s="4" t="str">
        <x:v>与人类或人工对手进行改编石头剪刀布，追踪对手变化；行为及fMRI样本验证。</x:v>
      </x:c>
      <x:c r="I50" s="4" t="str">
        <x:v>CHASE：关于对手推理层级的自适应信念模型，而非每个人固定一个推理层级。</x:v>
      </x:c>
      <x:c r="J50" s="4" t="str">
        <x:v>人们会随对手变化调整心理化推断；模型相关神经表征具有跨样本预测能力。</x:v>
      </x:c>
      <x:c r="K50" s="4" t="str">
        <x:v>把看似稳定的能力等级改写为随情境调节的推断过程。</x:v>
      </x:c>
      <x:c r="L50" s="4" t="str">
        <x:v>总样本不等于成像样本；模型导出的标签不等于独立真值，不是已验证临床诊断工具。</x:v>
      </x:c>
      <x:c r="M50" s="4" t="str">
        <x:v>跨实验/情境总N=553；并非553人全部接受fMRI</x:v>
      </x:c>
      <x:c r="N50" s="4" t="str">
        <x:v>优先精读</x:v>
      </x:c>
      <x:c r="O50" s="4" t="str">
        <x:v>全文相关结果与书目信息</x:v>
      </x:c>
      <x:c r="P50" s="4" t="str">
        <x:v>10.1038/s41593-026-02219-x</x:v>
      </x:c>
      <x:c r="Q50" s="24" t="str">
        <x:v>https://www.nature.com/articles/s41593-026-02219-x</x:v>
      </x:c>
      <x:c r="R50" s="4" t="str">
        <x:v>未读</x:v>
      </x:c>
    </x:row>
    <x:row r="51" ht="112" customHeight="1">
      <x:c r="A51" s="22" t="str">
        <x:v>F01</x:v>
      </x:c>
      <x:c r="B51" s="4" t="str">
        <x:v>Using large-scale experiments and machine learning to discover theories of human decision-making</x:v>
      </x:c>
      <x:c r="C51" s="4" t="str">
        <x:v>2021</x:v>
      </x:c>
      <x:c r="D51" s="4" t="str">
        <x:v>Science</x:v>
      </x:c>
      <x:c r="E51" s="4" t="str">
        <x:v>Peterson et al.</x:v>
      </x:c>
      <x:c r="F51" s="4" t="str">
        <x:v>以模型发现为核心的研究</x:v>
      </x:c>
      <x:c r="G51" s="4" t="str">
        <x:v>B：新行为实验＋模型发现</x:v>
      </x:c>
      <x:c r="H51" s="4" t="str">
        <x:v>大规模人类风险选择实验，利用广泛的选择问题比较经典理论与数据驱动模型。</x:v>
      </x:c>
      <x:c r="I51" s="4" t="str">
        <x:v>可微分决策理论与神经网络，数据驱动发现保留结构的认知理论。</x:v>
      </x:c>
      <x:c r="J51" s="4" t="str">
        <x:v>机器学习不仅可以提高预测，也可用于修改和发现决策理论。</x:v>
      </x:c>
      <x:c r="K51" s="4" t="str">
        <x:v>故事不是‘AI拟合更好’，而是‘现有理论的哪些结构需要被数据修订’。</x:v>
      </x:c>
      <x:c r="L51" s="4" t="str">
        <x:v>预测比较依赖任务分布；Choices13k中的13k不要误记为被试数。</x:v>
      </x:c>
      <x:c r="M51" s="4" t="str">
        <x:v>未逐实验核对</x:v>
      </x:c>
      <x:c r="N51" s="4" t="str">
        <x:v>延伸</x:v>
      </x:c>
      <x:c r="O51" s="4" t="str">
        <x:v>摘要与书目信息</x:v>
      </x:c>
      <x:c r="P51" s="4" t="str">
        <x:v>10.1126/science.abe2629</x:v>
      </x:c>
      <x:c r="Q51" s="24" t="str">
        <x:v>https://pubmed.ncbi.nlm.nih.gov/34112693/</x:v>
      </x:c>
      <x:c r="R51" s="4" t="str">
        <x:v>未读</x:v>
      </x:c>
    </x:row>
    <x:row r="52" ht="112" customHeight="1">
      <x:c r="A52" s="22" t="str">
        <x:v>F02</x:v>
      </x:c>
      <x:c r="B52" s="4" t="str">
        <x:v>Discovering cognitive strategies with tiny recurrent neural networks</x:v>
      </x:c>
      <x:c r="C52" s="4" t="str">
        <x:v>2025</x:v>
      </x:c>
      <x:c r="D52" s="4" t="str">
        <x:v>Nature</x:v>
      </x:c>
      <x:c r="E52" s="4" t="str">
        <x:v>Ji-An, Benna &amp; Mattar</x:v>
      </x:c>
      <x:c r="F52" s="4" t="str">
        <x:v>以模型发现为核心的研究</x:v>
      </x:c>
      <x:c r="G52" s="4" t="str">
        <x:v>R：人类/动物既有数据再分析</x:v>
      </x:c>
      <x:c r="H52" s="4" t="str">
        <x:v>八个既有数据集、六类任务（含人类与动物），检验极小循环网络能否捕捉行为。</x:v>
      </x:c>
      <x:c r="I52" s="4" t="str">
        <x:v>1—4单元RNN＋动力系统分析，提取状态依赖学习和选择规律。</x:v>
      </x:c>
      <x:c r="J52" s="4" t="str">
        <x:v>非常小的网络可以兼顾预测力与可解释的动态策略结构。</x:v>
      </x:c>
      <x:c r="K52" s="4" t="str">
        <x:v>先让灵活模型找到规律，再用低维动态分析把规律译回认知语言。</x:v>
      </x:c>
      <x:c r="L52" s="4" t="str">
        <x:v>不是六项新的人类实验；网络实现不等于证明脑内相同实现。</x:v>
      </x:c>
      <x:c r="M52" s="4" t="str">
        <x:v>八数据集，六任务；三类人类任务、三类动物任务</x:v>
      </x:c>
      <x:c r="N52" s="4" t="str">
        <x:v>延伸</x:v>
      </x:c>
      <x:c r="O52" s="4" t="str">
        <x:v>全文相关结果与书目信息</x:v>
      </x:c>
      <x:c r="P52" s="4" t="str">
        <x:v>10.1038/s41586-025-09142-4</x:v>
      </x:c>
      <x:c r="Q52" s="24" t="str">
        <x:v>https://www.nature.com/articles/s41586-025-09142-4</x:v>
      </x:c>
      <x:c r="R52" s="4" t="str">
        <x:v>未读</x:v>
      </x:c>
    </x:row>
    <x:row r="53" ht="112" customHeight="1">
      <x:c r="A53" s="22" t="str">
        <x:v>F03</x:v>
      </x:c>
      <x:c r="B53" s="4" t="str">
        <x:v>A foundation model to predict and capture human cognition</x:v>
      </x:c>
      <x:c r="C53" s="4" t="str">
        <x:v>2025</x:v>
      </x:c>
      <x:c r="D53" s="4" t="str">
        <x:v>Nature</x:v>
      </x:c>
      <x:c r="E53" s="4" t="str">
        <x:v>Binz et al.</x:v>
      </x:c>
      <x:c r="F53" s="4" t="str">
        <x:v>以模型发现为核心的研究</x:v>
      </x:c>
      <x:c r="G53" s="4" t="str">
        <x:v>R：以既有人类实验汇编/再分析为主</x:v>
      </x:c>
      <x:c r="H53" s="4" t="str">
        <x:v>Psych-101汇集多类人类认知任务，评估未见参与者、任务表述与其他泛化设置。</x:v>
      </x:c>
      <x:c r="I53" s="4" t="str">
        <x:v>Centaur：基于大语言模型微调的跨任务行为预测模型。</x:v>
      </x:c>
      <x:c r="J53" s="4" t="str">
        <x:v>统一预测模型能够覆盖大量异质认知任务，并展示多种泛化能力。</x:v>
      </x:c>
      <x:c r="K53" s="4" t="str">
        <x:v>通过跨任务覆盖和外推界定贡献；同时注意‘统一预测器’与‘统一机制理论’的区别。</x:v>
      </x:c>
      <x:c r="L53" s="4" t="str">
        <x:v>汇编总N不是本研究新招募N；预测和神经相关性本身不证明统一认知机制。</x:v>
      </x:c>
      <x:c r="M53" s="4" t="str">
        <x:v>数据集60,092人、10,681,650次选择、160项实验；非新招募总数</x:v>
      </x:c>
      <x:c r="N53" s="4" t="str">
        <x:v>延伸</x:v>
      </x:c>
      <x:c r="O53" s="4" t="str">
        <x:v>摘要、主文相关段落与书目信息</x:v>
      </x:c>
      <x:c r="P53" s="4" t="str">
        <x:v>10.1038/s41586-025-09215-4</x:v>
      </x:c>
      <x:c r="Q53" s="24" t="str">
        <x:v>https://www.nature.com/articles/s41586-025-09215-4</x:v>
      </x:c>
      <x:c r="R53" s="4" t="str">
        <x:v>未读</x:v>
      </x:c>
    </x:row>
    <x:row r="54" ht="112" customHeight="1">
      <x:c r="A54" s="22" t="str">
        <x:v>F04</x:v>
      </x:c>
      <x:c r="B54" s="4" t="str">
        <x:v>A neural network model of free recall learns multiple memory strategies</x:v>
      </x:c>
      <x:c r="C54" s="4" t="str">
        <x:v>2026</x:v>
      </x:c>
      <x:c r="D54" s="4" t="str">
        <x:v>Nature Machine Intelligence</x:v>
      </x:c>
      <x:c r="E54" s="4" t="str">
        <x:v>Li, Jensen, Zhang, Lu &amp; Mattar</x:v>
      </x:c>
      <x:c r="F54" s="4" t="str">
        <x:v>以模型发现为核心的研究</x:v>
      </x:c>
      <x:c r="G54" s="4" t="str">
        <x:v>R：人类既有数据比较＋模型训练</x:v>
      </x:c>
      <x:c r="H54" s="4" t="str">
        <x:v>自由回忆网络训练，并与PEERS人类数据的记忆行为规律比较。</x:v>
      </x:c>
      <x:c r="I54" s="4" t="str">
        <x:v>优化RNN，分析时间情境与索引编码等不同记忆策略的形成。</x:v>
      </x:c>
      <x:c r="J54" s="4" t="str">
        <x:v>不同目标和约束可产生不同记忆策略；类似表面回忆规律不必对应唯一算法。</x:v>
      </x:c>
      <x:c r="K54" s="4" t="str">
        <x:v>把策略多样性视作目标与约束的结果，避免‘一个行为效应只有一种机制’。</x:v>
      </x:c>
      <x:c r="L54" s="4" t="str">
        <x:v>不是新的人类记忆实验；学得策略的神经网络是可能实现，不是实际脑机制的证明。</x:v>
      </x:c>
      <x:c r="M54" s="4" t="str">
        <x:v>未逐实验核对</x:v>
      </x:c>
      <x:c r="N54" s="4" t="str">
        <x:v>延伸</x:v>
      </x:c>
      <x:c r="O54" s="4" t="str">
        <x:v>摘要、数据声明与书目信息</x:v>
      </x:c>
      <x:c r="P54" s="4" t="str">
        <x:v>10.1038/s42256-026-01274-0</x:v>
      </x:c>
      <x:c r="Q54" s="24" t="str">
        <x:v>https://www.nature.com/articles/s42256-026-01274-0</x:v>
      </x:c>
      <x:c r="R54" s="4" t="str">
        <x:v>未读</x:v>
      </x:c>
    </x:row>
    <x:row r="55" ht="112" customHeight="1">
      <x:c r="A55" s="22" t="str">
        <x:v>F05</x:v>
      </x:c>
      <x:c r="B55" s="4" t="str">
        <x:v>Interpretable abstractions of artificial neural networks predict behavior and neural activity during human information gathering</x:v>
      </x:c>
      <x:c r="C55" s="4" t="str">
        <x:v>2026</x:v>
      </x:c>
      <x:c r="D55" s="4" t="str">
        <x:v>Nature Neuroscience</x:v>
      </x:c>
      <x:c r="E55" s="4" t="str">
        <x:v>D’Ambrogio et al.</x:v>
      </x:c>
      <x:c r="F55" s="4" t="str">
        <x:v>以模型发现为核心的研究</x:v>
      </x:c>
      <x:c r="G55" s="4" t="str">
        <x:v>N：新行为＋7T fMRI；另有独立数据验证</x:v>
      </x:c>
      <x:c r="H55" s="4" t="str">
        <x:v>在点阵中通过悬停逐步采样信息，决定继续、切换或选择；7T fMRI及独立数据集泛化。</x:v>
      </x:c>
      <x:c r="I55" s="4" t="str">
        <x:v>混合认知—ANN模型→符号回归抽取四参数的信息价值函数；交叉验证与恢复分析。</x:v>
      </x:c>
      <x:c r="J55" s="4" t="str">
        <x:v>采样更符合选项间信息相对对称性的原则，而不只是逐个选项降低绝对不确定性。</x:v>
      </x:c>
      <x:c r="K55" s="4" t="str">
        <x:v>黑箱发现→简洁数学原则→独立数据泛化→神经对应，完成理论提炼闭环。</x:v>
      </x:c>
      <x:c r="L55" s="4" t="str">
        <x:v>四参数指提取的信息价值函数，而非整套模型；神经相关并非因果仲裁证明。</x:v>
      </x:c>
      <x:c r="M55" s="4" t="str">
        <x:v>主实验N=20，每人四次约25分钟测量；另有独立数据集验证，非全篇总N=20</x:v>
      </x:c>
      <x:c r="N55" s="4" t="str">
        <x:v>优先精读</x:v>
      </x:c>
      <x:c r="O55" s="4" t="str">
        <x:v>全文方法、结果、样本与书目信息</x:v>
      </x:c>
      <x:c r="P55" s="4" t="str">
        <x:v>10.1038/s41593-026-02342-9</x:v>
      </x:c>
      <x:c r="Q55" s="24" t="str">
        <x:v>https://www.nature.com/articles/s41593-026-02342-9</x:v>
      </x:c>
      <x:c r="R55" s="4" t="str">
        <x:v>未读</x:v>
      </x:c>
    </x:row>
  </x:sheetData>
  <x:mergeCells>
    <x:mergeCell ref="A1:R1"/>
    <x:mergeCell ref="A2:R2"/>
  </x:mergeCells>
  <x:conditionalFormatting sqref="N5:N55">
    <x:cfRule type="expression" dxfId="0" priority="1">
      <x:formula>N5="优先精读"</x:formula>
    </x:cfRule>
  </x:conditionalFormatting>
  <x:dataValidations count="1">
    <x:dataValidation type="list" sqref="R5:R55">
      <x:formula1>"未读,待读,已读,需复核"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959ccee2f74d0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0" hidden="0" customWidth="1"/>
    <x:col min="3" max="3" width="22" hidden="0" customWidth="1"/>
    <x:col min="4" max="4" width="26" hidden="0" customWidth="1"/>
    <x:col min="5" max="5" width="23" hidden="0" customWidth="1"/>
    <x:col min="6" max="6" width="25" hidden="0" customWidth="1"/>
    <x:col min="7" max="7" width="30" hidden="0" customWidth="1"/>
    <x:col min="8" max="8" width="40" hidden="0" customWidth="1"/>
    <x:col min="9" max="9" width="40" hidden="0" customWidth="1"/>
    <x:col min="10" max="10" width="40" hidden="0" customWidth="1"/>
    <x:col min="11" max="11" width="40" hidden="0" customWidth="1"/>
    <x:col min="12" max="12" width="40" hidden="0" customWidth="1"/>
    <x:col min="13" max="13" width="36" hidden="0" customWidth="1"/>
    <x:col min="14" max="14" width="16" hidden="0" customWidth="1"/>
    <x:col min="15" max="15" width="30" hidden="0" customWidth="1"/>
    <x:col min="16" max="16" width="35" hidden="0" customWidth="1"/>
    <x:col min="17" max="17" width="40" hidden="0" customWidth="1"/>
    <x:col min="18" max="18" width="16" hidden="0" customWidth="1"/>
  </x:cols>
  <x:sheetData>
    <x:row r="1" ht="36" customHeight="1">
      <x:c r="A1" s="9" t="str">
        <x:v>补充期刊｜人类认知实验与计算建模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</x:row>
    <x:row r="2" ht="32" customHeight="1">
      <x:c r="A2" s="13" t="str">
        <x:v>7篇核心补充＋1篇边界叙事参考（S08）；边界文献不计入核心实验—建模研究。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38" customHeight="1">
      <x:c r="A4" s="18" t="str">
        <x:v>编号</x:v>
      </x:c>
      <x:c r="B4" s="18" t="str">
        <x:v>正式题名</x:v>
      </x:c>
      <x:c r="C4" s="18" t="str">
        <x:v>发表年份（优先在线）</x:v>
      </x:c>
      <x:c r="D4" s="18" t="str">
        <x:v>期刊</x:v>
      </x:c>
      <x:c r="E4" s="18" t="str">
        <x:v>作者</x:v>
      </x:c>
      <x:c r="F4" s="18" t="str">
        <x:v>主题</x:v>
      </x:c>
      <x:c r="G4" s="18" t="str">
        <x:v>证据构成</x:v>
      </x:c>
      <x:c r="H4" s="18" t="str">
        <x:v>实验任务与操纵</x:v>
      </x:c>
      <x:c r="I4" s="18" t="str">
        <x:v>计算模型</x:v>
      </x:c>
      <x:c r="J4" s="18" t="str">
        <x:v>主要发现</x:v>
      </x:c>
      <x:c r="K4" s="18" t="str">
        <x:v>故事逻辑／可借鉴点</x:v>
      </x:c>
      <x:c r="L4" s="18" t="str">
        <x:v>证据边界</x:v>
      </x:c>
      <x:c r="M4" s="18" t="str">
        <x:v>样本与测量规模（已核实部分）</x:v>
      </x:c>
      <x:c r="N4" s="18" t="str">
        <x:v>阅读优先级</x:v>
      </x:c>
      <x:c r="O4" s="18" t="str">
        <x:v>本次核实深度</x:v>
      </x:c>
      <x:c r="P4" s="18" t="str">
        <x:v>DOI</x:v>
      </x:c>
      <x:c r="Q4" s="18" t="str">
        <x:v>原始来源网址</x:v>
      </x:c>
      <x:c r="R4" s="18" t="str">
        <x:v>阅读状态</x:v>
      </x:c>
    </x:row>
    <x:row r="5" ht="112" customHeight="1">
      <x:c r="A5" s="22" t="str">
        <x:v>S01</x:v>
      </x:c>
      <x:c r="B5" s="4" t="str">
        <x:v>Blending simulation and abstraction for physical reasoning</x:v>
      </x:c>
      <x:c r="C5" s="4" t="str">
        <x:v>2024在线／2025卷期</x:v>
      </x:c>
      <x:c r="D5" s="4" t="str">
        <x:v>Cognition</x:v>
      </x:c>
      <x:c r="E5" s="4" t="str">
        <x:v>Sosa, Gershman &amp; Ullman</x:v>
      </x:c>
      <x:c r="F5" s="4" t="str">
        <x:v>补充期刊</x:v>
      </x:c>
      <x:c r="G5" s="4" t="str">
        <x:v>B：新行为实验</x:v>
      </x:c>
      <x:c r="H5" s="4" t="str">
        <x:v>两项物理推理实验：判断落球是否到达目标，分析准确率和反应时。</x:v>
      </x:c>
      <x:c r="I5" s="4" t="str">
        <x:v>物理模拟＋抽象路径启发式的混合模型，考虑计算/记忆成本。</x:v>
      </x:c>
      <x:c r="J5" s="4" t="str">
        <x:v>人类推理可以混合模拟与抽象，而非必须归入其中一种。</x:v>
      </x:c>
      <x:c r="K5" s="4" t="str">
        <x:v>以混合替代二选一，但要求混合成分解释具体条件差异而不只是提升拟合。</x:v>
      </x:c>
      <x:c r="L5" s="4" t="str">
        <x:v>不要把某任务中的混合策略直接推广为所有物理推理的唯一机制。</x:v>
      </x:c>
      <x:c r="M5" s="4" t="str">
        <x:v>未逐实验核对</x:v>
      </x:c>
      <x:c r="N5" s="4" t="str">
        <x:v>优先精读</x:v>
      </x:c>
      <x:c r="O5" s="4" t="str">
        <x:v>摘要与书目信息</x:v>
      </x:c>
      <x:c r="P5" s="4" t="str">
        <x:v>10.1016/j.cognition.2024.105995</x:v>
      </x:c>
      <x:c r="Q5" s="24" t="str">
        <x:v>https://pubmed.ncbi.nlm.nih.gov/39499976/</x:v>
      </x:c>
      <x:c r="R5" s="4" t="str">
        <x:v>未读</x:v>
      </x:c>
    </x:row>
    <x:row r="6" ht="112" customHeight="1">
      <x:c r="A6" s="22" t="str">
        <x:v>S02</x:v>
      </x:c>
      <x:c r="B6" s="4" t="str">
        <x:v>Learning From Aggregated Opinion</x:v>
      </x:c>
      <x:c r="C6" s="4" t="str">
        <x:v>2024</x:v>
      </x:c>
      <x:c r="D6" s="4" t="str">
        <x:v>Psychological Science</x:v>
      </x:c>
      <x:c r="E6" s="4" t="str">
        <x:v>Oktar, Lombrozo &amp; Griffiths</x:v>
      </x:c>
      <x:c r="F6" s="4" t="str">
        <x:v>补充期刊</x:v>
      </x:c>
      <x:c r="G6" s="4" t="str">
        <x:v>B：新行为实验</x:v>
      </x:c>
      <x:c r="H6" s="4" t="str">
        <x:v>三项在线实验，观察群体汇总意见后形成/更新判断。</x:v>
      </x:c>
      <x:c r="I6" s="4" t="str">
        <x:v>贝叶斯社会推断，与将意见比例直接转换为个人信念等策略比较。</x:v>
      </x:c>
      <x:c r="J6" s="4" t="str">
        <x:v>群体意见的使用需要推断他人信息与能力，不只是照搬多数比例；存在策略差异。</x:v>
      </x:c>
      <x:c r="K6" s="4" t="str">
        <x:v>把日常熟悉的信息形式做成可诊断的任务，区分‘知道多少人同意’和‘知道多少证据’。</x:v>
      </x:c>
      <x:c r="L6" s="4" t="str">
        <x:v>总体模型优势不意味着每个个体都采用同一种规则。</x:v>
      </x:c>
      <x:c r="M6" s="4" t="str">
        <x:v>三项美国在线实验，总N=886</x:v>
      </x:c>
      <x:c r="N6" s="4" t="str">
        <x:v>延伸</x:v>
      </x:c>
      <x:c r="O6" s="4" t="str">
        <x:v>摘要与书目信息</x:v>
      </x:c>
      <x:c r="P6" s="4" t="str">
        <x:v>10.1177/09567976241251741</x:v>
      </x:c>
      <x:c r="Q6" s="24" t="str">
        <x:v>https://pubmed.ncbi.nlm.nih.gov/39046442/</x:v>
      </x:c>
      <x:c r="R6" s="4" t="str">
        <x:v>未读</x:v>
      </x:c>
    </x:row>
    <x:row r="7" ht="112" customHeight="1">
      <x:c r="A7" s="22" t="str">
        <x:v>S03</x:v>
      </x:c>
      <x:c r="B7" s="4" t="str">
        <x:v>A rational model of people’s inferences about others’ preferences based on response times</x:v>
      </x:c>
      <x:c r="C7" s="4" t="str">
        <x:v>2021</x:v>
      </x:c>
      <x:c r="D7" s="4" t="str">
        <x:v>Cognition</x:v>
      </x:c>
      <x:c r="E7" s="4" t="str">
        <x:v>Gates, Callaway, Ho &amp; Griffiths</x:v>
      </x:c>
      <x:c r="F7" s="4" t="str">
        <x:v>补充期刊</x:v>
      </x:c>
      <x:c r="G7" s="4" t="str">
        <x:v>B：人类行为实验</x:v>
      </x:c>
      <x:c r="H7" s="4" t="str">
        <x:v>观察他人的选择与反应时间，推断其偏好。</x:v>
      </x:c>
      <x:c r="I7" s="4" t="str">
        <x:v>逆向漂移扩散模型：从决策过程的时长反推偏好强度。</x:v>
      </x:c>
      <x:c r="J7" s="4" t="str">
        <x:v>反应时不只是研究者的因变量，也能成为日常社会推断中的证据。</x:v>
      </x:c>
      <x:c r="K7" s="4" t="str">
        <x:v>把被忽略的过程线索转化为理论对象：同一个选择，做得快慢为何会改变他人的理解？</x:v>
      </x:c>
      <x:c r="L7" s="4" t="str">
        <x:v>反应时也受谨慎性等因素影响；模型的逆推依赖相关假设。</x:v>
      </x:c>
      <x:c r="M7" s="4" t="str">
        <x:v>未逐实验核对</x:v>
      </x:c>
      <x:c r="N7" s="4" t="str">
        <x:v>延伸</x:v>
      </x:c>
      <x:c r="O7" s="4" t="str">
        <x:v>摘要与书目信息</x:v>
      </x:c>
      <x:c r="P7" s="4" t="str">
        <x:v>10.1016/j.cognition.2021.104885</x:v>
      </x:c>
      <x:c r="Q7" s="24" t="str">
        <x:v>https://pubmed.ncbi.nlm.nih.gov/34454336/</x:v>
      </x:c>
      <x:c r="R7" s="4" t="str">
        <x:v>未读</x:v>
      </x:c>
    </x:row>
    <x:row r="8" ht="112" customHeight="1">
      <x:c r="A8" s="22" t="str">
        <x:v>S04</x:v>
      </x:c>
      <x:c r="B8" s="4" t="str">
        <x:v>The role of memory in counterfactual valuation</x:v>
      </x:c>
      <x:c r="C8" s="4" t="str">
        <x:v>2023</x:v>
      </x:c>
      <x:c r="D8" s="4" t="str">
        <x:v>JEP: General</x:v>
      </x:c>
      <x:c r="E8" s="4" t="str">
        <x:v>Biderman, Gershman &amp; Shohamy</x:v>
      </x:c>
      <x:c r="F8" s="4" t="str">
        <x:v>补充期刊</x:v>
      </x:c>
      <x:c r="G8" s="4" t="str">
        <x:v>B：新行为实验</x:v>
      </x:c>
      <x:c r="H8" s="4" t="str">
        <x:v>预注册实验考察关联记忆如何影响未选选项的反事实估值。</x:v>
      </x:c>
      <x:c r="I8" s="4" t="str">
        <x:v>基于记忆的策略梯度模型，解释未选项反向更新及其记忆依赖。</x:v>
      </x:c>
      <x:c r="J8" s="4" t="str">
        <x:v>没有直接反馈的价值更新，与记忆中选项之间的关联有关。</x:v>
      </x:c>
      <x:c r="K8" s="4" t="str">
        <x:v>让记忆不再只是决策后的结果，而成为价值计算的一部分。</x:v>
      </x:c>
      <x:c r="L8" s="4" t="str">
        <x:v>与C06的表面差别需结合具体任务和记忆操作解释，不能直接当作相互推翻。</x:v>
      </x:c>
      <x:c r="M8" s="4" t="str">
        <x:v>预注册N=315</x:v>
      </x:c>
      <x:c r="N8" s="4" t="str">
        <x:v>优先精读</x:v>
      </x:c>
      <x:c r="O8" s="4" t="str">
        <x:v>摘要与书目信息</x:v>
      </x:c>
      <x:c r="P8" s="4" t="str">
        <x:v>10.1037/xge0001364</x:v>
      </x:c>
      <x:c r="Q8" s="24" t="str">
        <x:v>https://pubmed.ncbi.nlm.nih.gov/37199971/</x:v>
      </x:c>
      <x:c r="R8" s="4" t="str">
        <x:v>未读</x:v>
      </x:c>
    </x:row>
    <x:row r="9" ht="112" customHeight="1">
      <x:c r="A9" s="22" t="str">
        <x:v>S05</x:v>
      </x:c>
      <x:c r="B9" s="4" t="str">
        <x:v>Action chunking as conditional policy compression</x:v>
      </x:c>
      <x:c r="C9" s="4" t="str">
        <x:v>2025</x:v>
      </x:c>
      <x:c r="D9" s="4" t="str">
        <x:v>Cognition</x:v>
      </x:c>
      <x:c r="E9" s="4" t="str">
        <x:v>Lai, Huang &amp; Gershman</x:v>
      </x:c>
      <x:c r="F9" s="4" t="str">
        <x:v>补充期刊</x:v>
      </x:c>
      <x:c r="G9" s="4" t="str">
        <x:v>B：行为实验＋模型</x:v>
      </x:c>
      <x:c r="H9" s="4" t="str">
        <x:v>序列动作任务，检验组块化与状态、记忆约束的关系。</x:v>
      </x:c>
      <x:c r="I9" s="4" t="str">
        <x:v>条件策略压缩：在信息容量约束下学习动作序列。</x:v>
      </x:c>
      <x:c r="J9" s="4" t="str">
        <x:v>动作组块可以作为压缩决策策略的结果，而非额外预设的序列模块。</x:v>
      </x:c>
      <x:c r="K9" s="4" t="str">
        <x:v>把熟悉的行为现象重新解释为资源约束下的组织原则。</x:v>
      </x:c>
      <x:c r="L9" s="4" t="str">
        <x:v>个别预测的支持并不均匀；正式精读应检查反应时与错误率是否一致支持。</x:v>
      </x:c>
      <x:c r="M9" s="4" t="str">
        <x:v>未逐实验核对</x:v>
      </x:c>
      <x:c r="N9" s="4" t="str">
        <x:v>延伸</x:v>
      </x:c>
      <x:c r="O9" s="4" t="str">
        <x:v>摘要与书目信息</x:v>
      </x:c>
      <x:c r="P9" s="4" t="str">
        <x:v>10.1016/j.cognition.2025.106201</x:v>
      </x:c>
      <x:c r="Q9" s="24" t="str">
        <x:v>https://pubmed.ncbi.nlm.nih.gov/40602234/</x:v>
      </x:c>
      <x:c r="R9" s="4" t="str">
        <x:v>未读</x:v>
      </x:c>
    </x:row>
    <x:row r="10" ht="112" customHeight="1">
      <x:c r="A10" s="22" t="str">
        <x:v>S06</x:v>
      </x:c>
      <x:c r="B10" s="4" t="str">
        <x:v>Time and memory costs jointly determine a speed-accuracy trade-off and set-size effects</x:v>
      </x:c>
      <x:c r="C10" s="4" t="str">
        <x:v>2025</x:v>
      </x:c>
      <x:c r="D10" s="4" t="str">
        <x:v>JEP: General</x:v>
      </x:c>
      <x:c r="E10" s="4" t="str">
        <x:v>Liu, Lai, Gershman &amp; Bari</x:v>
      </x:c>
      <x:c r="F10" s="4" t="str">
        <x:v>补充期刊</x:v>
      </x:c>
      <x:c r="G10" s="4" t="str">
        <x:v>B：新行为实验</x:v>
      </x:c>
      <x:c r="H10" s="4" t="str">
        <x:v>三项实验操纵时间成本、集合大小与规律性，联合分析速度和准确率。</x:v>
      </x:c>
      <x:c r="I10" s="4" t="str">
        <x:v>策略压缩模型，以记忆信息成本和解码时间解释表现；与证据积累模型比较。</x:v>
      </x:c>
      <x:c r="J10" s="4" t="str">
        <x:v>速度—准确性权衡与集合大小效应可以由同一组资源成本共同解释。</x:v>
      </x:c>
      <x:c r="K10" s="4" t="str">
        <x:v>不要只解释一个新效应：用共同机制把两种经典规律连起来，提高理论覆盖。</x:v>
      </x:c>
      <x:c r="L10" s="4" t="str">
        <x:v>统一解释的优势仍需在被比较的模型范围和任务操纵内理解。</x:v>
      </x:c>
      <x:c r="M10" s="4" t="str">
        <x:v>未逐实验核对</x:v>
      </x:c>
      <x:c r="N10" s="4" t="str">
        <x:v>优先精读</x:v>
      </x:c>
      <x:c r="O10" s="4" t="str">
        <x:v>摘要与书目信息</x:v>
      </x:c>
      <x:c r="P10" s="4" t="str">
        <x:v>10.1037/xge0001760</x:v>
      </x:c>
      <x:c r="Q10" s="24" t="str">
        <x:v>https://pubmed.ncbi.nlm.nih.gov/40193470/</x:v>
      </x:c>
      <x:c r="R10" s="4" t="str">
        <x:v>未读</x:v>
      </x:c>
    </x:row>
    <x:row r="11" ht="112" customHeight="1">
      <x:c r="A11" s="22" t="str">
        <x:v>S07</x:v>
      </x:c>
      <x:c r="B11" s="4" t="str">
        <x:v>It’s new, but is it good? How generalization and uncertainty guide the exploration of novel options</x:v>
      </x:c>
      <x:c r="C11" s="4" t="str">
        <x:v>2020</x:v>
      </x:c>
      <x:c r="D11" s="4" t="str">
        <x:v>JEP: General</x:v>
      </x:c>
      <x:c r="E11" s="4" t="str">
        <x:v>Stojić, Schulz, Analytis &amp; Speekenbrink</x:v>
      </x:c>
      <x:c r="F11" s="4" t="str">
        <x:v>补充期刊</x:v>
      </x:c>
      <x:c r="G11" s="4" t="str">
        <x:v>B：新行为实验</x:v>
      </x:c>
      <x:c r="H11" s="4" t="str">
        <x:v>带特征的新选项探索，利用已学特征关系推断新选项的价值和不确定性。</x:v>
      </x:c>
      <x:c r="I11" s="4" t="str">
        <x:v>函数学习/贝叶斯泛化与探索选择模型。</x:v>
      </x:c>
      <x:c r="J11" s="4" t="str">
        <x:v>探索新选项不只是追求新奇，也取决于从已有知识泛化出的收益与不确定性。</x:v>
      </x:c>
      <x:c r="K11" s="4" t="str">
        <x:v>把‘喜欢新东西’拆成可分辨的信息、价值和泛化来源。</x:v>
      </x:c>
      <x:c r="L11" s="4" t="str">
        <x:v>不是对所有新奇偏好的穷尽解释。</x:v>
      </x:c>
      <x:c r="M11" s="4" t="str">
        <x:v>未逐实验核对</x:v>
      </x:c>
      <x:c r="N11" s="4" t="str">
        <x:v>延伸</x:v>
      </x:c>
      <x:c r="O11" s="4" t="str">
        <x:v>摘要与书目信息</x:v>
      </x:c>
      <x:c r="P11" s="4" t="str">
        <x:v>10.1037/xge0000749</x:v>
      </x:c>
      <x:c r="Q11" s="24" t="str">
        <x:v>https://pubmed.ncbi.nlm.nih.gov/32191080/</x:v>
      </x:c>
      <x:c r="R11" s="4" t="str">
        <x:v>未读</x:v>
      </x:c>
    </x:row>
    <x:row r="12" ht="112" customHeight="1">
      <x:c r="A12" s="22" t="str">
        <x:v>S08</x:v>
      </x:c>
      <x:c r="B12" s="4" t="str">
        <x:v>On the Robustness and Provenance of the Gambler’s Fallacy</x:v>
      </x:c>
      <x:c r="C12" s="4" t="str">
        <x:v>2025</x:v>
      </x:c>
      <x:c r="D12" s="4" t="str">
        <x:v>Psychological Science</x:v>
      </x:c>
      <x:c r="E12" s="4" t="str">
        <x:v>Xiang, Dorst &amp; Gershman</x:v>
      </x:c>
      <x:c r="F12" s="4" t="str">
        <x:v>边界：叙事参考</x:v>
      </x:c>
      <x:c r="G12" s="4" t="str">
        <x:v>边界：实验＋反应映射模型检验</x:v>
      </x:c>
      <x:c r="H12" s="4" t="str">
        <x:v>真实独立二元序列；对比单次预测与概率判断，含预注册实验。</x:v>
      </x:c>
      <x:c r="I12" s="4" t="str">
        <x:v>生成式反应映射检验：简单概率匹配能否把概率判断转化为观察到的预测偏差。</x:v>
      </x:c>
      <x:c r="J12" s="4" t="str">
        <x:v>单次预测中的赌徒谬误不必直接等同于显式概率信念中的同等偏差。</x:v>
      </x:c>
      <x:c r="K12" s="4" t="str">
        <x:v>重新定位错误发生在哪一步：信念本身，还是从信念到行动的转换？</x:v>
      </x:c>
      <x:c r="L12" s="4" t="str">
        <x:v>并非完整学习机制模型，单独作为叙事参考，不计入核心实验—建模文献。</x:v>
      </x:c>
      <x:c r="M12" s="4" t="str">
        <x:v>报告实验N=750；分实验纳排未逐项复核</x:v>
      </x:c>
      <x:c r="N12" s="4" t="str">
        <x:v>延伸</x:v>
      </x:c>
      <x:c r="O12" s="4" t="str">
        <x:v>全文相关实验与书目信息</x:v>
      </x:c>
      <x:c r="P12" s="4" t="str">
        <x:v>10.1177/09567976251344570</x:v>
      </x:c>
      <x:c r="Q12" s="24" t="str">
        <x:v>https://journals.sagepub.com/doi/10.1177/09567976251344570</x:v>
      </x:c>
      <x:c r="R12" s="4" t="str">
        <x:v>未读</x:v>
      </x:c>
    </x:row>
  </x:sheetData>
  <x:mergeCells>
    <x:mergeCell ref="A1:R1"/>
    <x:mergeCell ref="A2:R2"/>
  </x:mergeCells>
  <x:conditionalFormatting sqref="N5:N12">
    <x:cfRule type="expression" dxfId="1" priority="1">
      <x:formula>N5="优先精读"</x:formula>
    </x:cfRule>
  </x:conditionalFormatting>
  <x:dataValidations count="1">
    <x:dataValidation type="list" sqref="R5:R12">
      <x:formula1>"未读,待读,已读,需复核"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469270871f440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0" hidden="0" customWidth="1"/>
    <x:col min="3" max="3" width="22" hidden="0" customWidth="1"/>
    <x:col min="4" max="4" width="26" hidden="0" customWidth="1"/>
    <x:col min="5" max="5" width="23" hidden="0" customWidth="1"/>
    <x:col min="6" max="6" width="25" hidden="0" customWidth="1"/>
    <x:col min="7" max="7" width="30" hidden="0" customWidth="1"/>
    <x:col min="8" max="8" width="40" hidden="0" customWidth="1"/>
    <x:col min="9" max="9" width="40" hidden="0" customWidth="1"/>
    <x:col min="10" max="10" width="40" hidden="0" customWidth="1"/>
    <x:col min="11" max="11" width="40" hidden="0" customWidth="1"/>
    <x:col min="12" max="12" width="40" hidden="0" customWidth="1"/>
    <x:col min="13" max="13" width="36" hidden="0" customWidth="1"/>
    <x:col min="14" max="14" width="16" hidden="0" customWidth="1"/>
    <x:col min="15" max="15" width="30" hidden="0" customWidth="1"/>
    <x:col min="16" max="16" width="35" hidden="0" customWidth="1"/>
    <x:col min="17" max="17" width="40" hidden="0" customWidth="1"/>
    <x:col min="18" max="18" width="16" hidden="0" customWidth="1"/>
  </x:cols>
  <x:sheetData>
    <x:row r="1" ht="36" customHeight="1">
      <x:c r="A1" s="9" t="str">
        <x:v>早期背景｜人类认知实验与计算建模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</x:row>
    <x:row r="2" ht="32" customHeight="1">
      <x:c r="A2" s="13" t="str">
        <x:v>4篇2020年前的概念背景，不混入2020—2026年主表。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38" customHeight="1">
      <x:c r="A4" s="18" t="str">
        <x:v>编号</x:v>
      </x:c>
      <x:c r="B4" s="18" t="str">
        <x:v>正式题名</x:v>
      </x:c>
      <x:c r="C4" s="18" t="str">
        <x:v>发表年份（优先在线）</x:v>
      </x:c>
      <x:c r="D4" s="18" t="str">
        <x:v>期刊</x:v>
      </x:c>
      <x:c r="E4" s="18" t="str">
        <x:v>作者</x:v>
      </x:c>
      <x:c r="F4" s="18" t="str">
        <x:v>主题</x:v>
      </x:c>
      <x:c r="G4" s="18" t="str">
        <x:v>证据构成</x:v>
      </x:c>
      <x:c r="H4" s="18" t="str">
        <x:v>实验任务与操纵</x:v>
      </x:c>
      <x:c r="I4" s="18" t="str">
        <x:v>计算模型</x:v>
      </x:c>
      <x:c r="J4" s="18" t="str">
        <x:v>主要发现</x:v>
      </x:c>
      <x:c r="K4" s="18" t="str">
        <x:v>故事逻辑／可借鉴点</x:v>
      </x:c>
      <x:c r="L4" s="18" t="str">
        <x:v>证据边界</x:v>
      </x:c>
      <x:c r="M4" s="18" t="str">
        <x:v>样本与测量规模（已核实部分）</x:v>
      </x:c>
      <x:c r="N4" s="18" t="str">
        <x:v>阅读优先级</x:v>
      </x:c>
      <x:c r="O4" s="18" t="str">
        <x:v>本次核实深度</x:v>
      </x:c>
      <x:c r="P4" s="18" t="str">
        <x:v>DOI</x:v>
      </x:c>
      <x:c r="Q4" s="18" t="str">
        <x:v>原始来源网址</x:v>
      </x:c>
      <x:c r="R4" s="18" t="str">
        <x:v>阅读状态</x:v>
      </x:c>
    </x:row>
    <x:row r="5" ht="112" customHeight="1">
      <x:c r="A5" s="22" t="str">
        <x:v>H01</x:v>
      </x:c>
      <x:c r="B5" s="4" t="str">
        <x:v>How much of reinforcement learning is working memory, not reinforcement learning? A behavioral, computational, and neurogenetic analysis</x:v>
      </x:c>
      <x:c r="C5" s="4" t="n">
        <x:v>2012</x:v>
      </x:c>
      <x:c r="D5" s="4" t="str">
        <x:v>European Journal of Neuroscience</x:v>
      </x:c>
      <x:c r="E5" s="4" t="str">
        <x:v>Collins &amp; Frank</x:v>
      </x:c>
      <x:c r="F5" s="4" t="str">
        <x:v>2020年前背景</x:v>
      </x:c>
      <x:c r="G5" s="4" t="str">
        <x:v>背景，不计入主表</x:v>
      </x:c>
      <x:c r="H5" s="4" t="str">
        <x:v>操纵学习任务的工作记忆需求。</x:v>
      </x:c>
      <x:c r="I5" s="4" t="str">
        <x:v>强化学习＋容量受限工作记忆。</x:v>
      </x:c>
      <x:c r="J5" s="4" t="str">
        <x:v>任务名称不等于心理过程；是C04、C07、C08的重要背景。</x:v>
      </x:c>
      <x:c r="K5" s="4" t="str">
        <x:v>任务名称不等于心理过程；是C04、C07、C08的重要背景。</x:v>
      </x:c>
      <x:c r="L5" s="4" t="str">
        <x:v>年份在主检索窗口之外，仅用于理解理论脉络。</x:v>
      </x:c>
      <x:c r="M5" s="4" t="str">
        <x:v>本次未核对</x:v>
      </x:c>
      <x:c r="N5" s="4" t="str">
        <x:v>背景</x:v>
      </x:c>
      <x:c r="O5" s="4" t="str">
        <x:v>摘要与书目信息</x:v>
      </x:c>
      <x:c r="P5" s="4" t="str">
        <x:v>10.1111/j.1460-9568.2011.07980.x</x:v>
      </x:c>
      <x:c r="Q5" s="24" t="str">
        <x:v>https://pubmed.ncbi.nlm.nih.gov/22487033/</x:v>
      </x:c>
      <x:c r="R5" s="4" t="str">
        <x:v>未读</x:v>
      </x:c>
    </x:row>
    <x:row r="6" ht="112" customHeight="1">
      <x:c r="A6" s="22" t="str">
        <x:v>H02</x:v>
      </x:c>
      <x:c r="B6" s="4" t="str">
        <x:v>Humans use directed and random exploration to solve the explore–exploit dilemma</x:v>
      </x:c>
      <x:c r="C6" s="4" t="n">
        <x:v>2014</x:v>
      </x:c>
      <x:c r="D6" s="4" t="str">
        <x:v>JEP: General</x:v>
      </x:c>
      <x:c r="E6" s="4" t="str">
        <x:v>Wilson et al.</x:v>
      </x:c>
      <x:c r="F6" s="4" t="str">
        <x:v>2020年前背景</x:v>
      </x:c>
      <x:c r="G6" s="4" t="str">
        <x:v>背景，不计入主表</x:v>
      </x:c>
      <x:c r="H6" s="4" t="str">
        <x:v>探索任务操纵未来决策时域及信息不对称。</x:v>
      </x:c>
      <x:c r="I6" s="4" t="str">
        <x:v>区分信息奖励和随机探索。</x:v>
      </x:c>
      <x:c r="J6" s="4" t="str">
        <x:v>把一个总行为标签拆成不同计算来源；理解B05、B08的背景。</x:v>
      </x:c>
      <x:c r="K6" s="4" t="str">
        <x:v>把一个总行为标签拆成不同计算来源；理解B05、B08的背景。</x:v>
      </x:c>
      <x:c r="L6" s="4" t="str">
        <x:v>年份在主检索窗口之外，仅用于理解理论脉络。</x:v>
      </x:c>
      <x:c r="M6" s="4" t="str">
        <x:v>本次未核对</x:v>
      </x:c>
      <x:c r="N6" s="4" t="str">
        <x:v>背景</x:v>
      </x:c>
      <x:c r="O6" s="4" t="str">
        <x:v>摘要与书目信息</x:v>
      </x:c>
      <x:c r="P6" s="4" t="str">
        <x:v>10.1037/a0038199</x:v>
      </x:c>
      <x:c r="Q6" s="24" t="str">
        <x:v>https://pubmed.ncbi.nlm.nih.gov/25347535/</x:v>
      </x:c>
      <x:c r="R6" s="4" t="str">
        <x:v>未读</x:v>
      </x:c>
    </x:row>
    <x:row r="7" ht="112" customHeight="1">
      <x:c r="A7" s="22" t="str">
        <x:v>H03</x:v>
      </x:c>
      <x:c r="B7" s="4" t="str">
        <x:v>The successor representation in human reinforcement learning</x:v>
      </x:c>
      <x:c r="C7" s="4" t="n">
        <x:v>2017</x:v>
      </x:c>
      <x:c r="D7" s="4" t="str">
        <x:v>Nature Human Behaviour</x:v>
      </x:c>
      <x:c r="E7" s="4" t="str">
        <x:v>Momennejad et al.</x:v>
      </x:c>
      <x:c r="F7" s="4" t="str">
        <x:v>2020年前背景</x:v>
      </x:c>
      <x:c r="G7" s="4" t="str">
        <x:v>背景，不计入主表</x:v>
      </x:c>
      <x:c r="H7" s="4" t="str">
        <x:v>奖励重估与状态转移重估。</x:v>
      </x:c>
      <x:c r="I7" s="4" t="str">
        <x:v>后继表征与model-based/model-free对比。</x:v>
      </x:c>
      <x:c r="J7" s="4" t="str">
        <x:v>设计不同重估条件，让竞争表征产生不同的预测；理解A03等多任务泛化工作。</x:v>
      </x:c>
      <x:c r="K7" s="4" t="str">
        <x:v>设计不同重估条件，让竞争表征产生不同的预测；理解A03等多任务泛化工作。</x:v>
      </x:c>
      <x:c r="L7" s="4" t="str">
        <x:v>年份在主检索窗口之外，仅用于理解理论脉络。</x:v>
      </x:c>
      <x:c r="M7" s="4" t="str">
        <x:v>本次未核对</x:v>
      </x:c>
      <x:c r="N7" s="4" t="str">
        <x:v>背景</x:v>
      </x:c>
      <x:c r="O7" s="4" t="str">
        <x:v>摘要与书目信息</x:v>
      </x:c>
      <x:c r="P7" s="4" t="str">
        <x:v>10.1038/s41562-017-0180-8</x:v>
      </x:c>
      <x:c r="Q7" s="24" t="str">
        <x:v>https://www.nature.com/articles/s41562-017-0180-8</x:v>
      </x:c>
      <x:c r="R7" s="4" t="str">
        <x:v>未读</x:v>
      </x:c>
    </x:row>
    <x:row r="8" ht="112" customHeight="1">
      <x:c r="A8" s="22" t="str">
        <x:v>H04</x:v>
      </x:c>
      <x:c r="B8" s="4" t="str">
        <x:v>Computational noise in reward-guided learning drives behavioral variability in volatile environments</x:v>
      </x:c>
      <x:c r="C8" s="4" t="n">
        <x:v>2019</x:v>
      </x:c>
      <x:c r="D8" s="4" t="str">
        <x:v>Nature Neuroscience</x:v>
      </x:c>
      <x:c r="E8" s="4" t="str">
        <x:v>Findling et al.</x:v>
      </x:c>
      <x:c r="F8" s="4" t="str">
        <x:v>2020年前背景</x:v>
      </x:c>
      <x:c r="G8" s="4" t="str">
        <x:v>背景，不计入主表</x:v>
      </x:c>
      <x:c r="H8" s="4" t="str">
        <x:v>变化环境中的奖励学习与行为波动。</x:v>
      </x:c>
      <x:c r="I8" s="4" t="str">
        <x:v>将噪声定位于学习计算，而非仅最终选择。</x:v>
      </x:c>
      <x:c r="J8" s="4" t="str">
        <x:v>看似随机的行为不一定只是选择噪声；随机性发生的位置也是机制问题。</x:v>
      </x:c>
      <x:c r="K8" s="4" t="str">
        <x:v>看似随机的行为不一定只是选择噪声；随机性发生的位置也是机制问题。</x:v>
      </x:c>
      <x:c r="L8" s="4" t="str">
        <x:v>年份在主检索窗口之外，仅用于理解理论脉络。</x:v>
      </x:c>
      <x:c r="M8" s="4" t="str">
        <x:v>本次未核对</x:v>
      </x:c>
      <x:c r="N8" s="4" t="str">
        <x:v>背景</x:v>
      </x:c>
      <x:c r="O8" s="4" t="str">
        <x:v>摘要与书目信息</x:v>
      </x:c>
      <x:c r="P8" s="4" t="str">
        <x:v>10.1038/s41593-019-0518-9</x:v>
      </x:c>
      <x:c r="Q8" s="24" t="str">
        <x:v>https://www.nature.com/articles/s41593-019-0518-9</x:v>
      </x:c>
      <x:c r="R8" s="4" t="str">
        <x:v>未读</x:v>
      </x:c>
    </x:row>
  </x:sheetData>
  <x:mergeCells>
    <x:mergeCell ref="A1:R1"/>
    <x:mergeCell ref="A2:R2"/>
  </x:mergeCells>
  <x:conditionalFormatting sqref="N5:N8">
    <x:cfRule type="expression" dxfId="2" priority="1">
      <x:formula>N5="优先精读"</x:formula>
    </x:cfRule>
  </x:conditionalFormatting>
  <x:dataValidations count="1">
    <x:dataValidation type="list" sqref="R5:R8">
      <x:formula1>"未读,待读,已读,需复核"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8176821e3a495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7" hidden="0" customWidth="1"/>
    <x:col min="3" max="3" width="36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</x:cols>
  <x:sheetData>
    <x:row r="1" ht="36" customHeight="1">
      <x:c r="A1" s="9" t="str">
        <x:v>从现象到机制｜12条论文叙事链</x:v>
      </x:c>
      <x:c r="B1" s="9"/>
      <x:c r="C1" s="9"/>
      <x:c r="D1" s="9"/>
      <x:c r="E1" s="9"/>
      <x:c r="F1" s="9"/>
      <x:c r="G1" s="9"/>
      <x:c r="H1" s="9"/>
    </x:row>
    <x:row r="2" ht="28" customHeight="1">
      <x:c r="A2" s="4" t="str">
        <x:v>本表为分析性归纳，不是作者原话；重点是诊断性证据，而非修辞包装。</x:v>
      </x:c>
      <x:c r="B2" s="4"/>
      <x:c r="C2" s="4"/>
      <x:c r="D2" s="4"/>
      <x:c r="E2" s="4"/>
      <x:c r="F2" s="4"/>
      <x:c r="G2" s="4"/>
      <x:c r="H2" s="4"/>
    </x:row>
    <x:row r="3">
      <x:c r="A3" s="4"/>
      <x:c r="B3" s="4"/>
      <x:c r="C3" s="4"/>
      <x:c r="D3" s="4"/>
      <x:c r="E3" s="4"/>
      <x:c r="F3" s="4"/>
      <x:c r="G3" s="4"/>
      <x:c r="H3" s="4"/>
    </x:row>
    <x:row r="4" ht="36" customHeight="1">
      <x:c r="A4" s="17" t="str">
        <x:v>对应编号</x:v>
      </x:c>
      <x:c r="B4" s="17" t="str">
        <x:v>故事类型</x:v>
      </x:c>
      <x:c r="C4" s="17" t="str">
        <x:v>被挑战的默认解释</x:v>
      </x:c>
      <x:c r="D4" s="17" t="str">
        <x:v>关键实验／诊断证据</x:v>
      </x:c>
      <x:c r="E4" s="17" t="str">
        <x:v>模型不可替代的作用</x:v>
      </x:c>
      <x:c r="F4" s="17" t="str">
        <x:v>写作与设计借鉴</x:v>
      </x:c>
      <x:c r="G4" s="17" t="str">
        <x:v>不可越过的证据边界</x:v>
      </x:c>
      <x:c r="H4" s="17" t="str">
        <x:v>来源</x:v>
      </x:c>
    </x:row>
    <x:row r="5" ht="114" customHeight="1">
      <x:c r="A5" s="4" t="str">
        <x:v>A01</x:v>
      </x:c>
      <x:c r="B5" s="4" t="str">
        <x:v>先选择表征，再进行规划</x:v>
      </x:c>
      <x:c r="C5" s="4" t="str">
        <x:v>传统问题是‘搜索多深’，先问‘哪些环境信息进入了表征’。</x:v>
      </x:c>
      <x:c r="D5" s="4" t="str">
        <x:v>迷宫选择之外，同时约束障碍物意识、记忆和信息获取。</x:v>
      </x:c>
      <x:c r="E5" s="4" t="str">
        <x:v>价值—复杂度权衡模型解释被保留和忽略的信息；竞争模型必须解释同一组过程指标。</x:v>
      </x:c>
      <x:c r="F5" s="4" t="str">
        <x:v>把你的创新定位到更上游的计算对象，而不只是多拟合一条行为曲线。</x:v>
      </x:c>
      <x:c r="G5" s="4" t="str">
        <x:v>过程指标支持表征解释，不足以穷尽所有可能实现。</x:v>
      </x:c>
      <x:c r="H5" s="4" t="str">
        <x:v>https://www.nature.com/articles/s41586-022-04743-9</x:v>
      </x:c>
    </x:row>
    <x:row r="6" ht="114" customHeight="1">
      <x:c r="A6" s="4" t="str">
        <x:v>A02</x:v>
      </x:c>
      <x:c r="B6" s="4" t="str">
        <x:v>联合行为指纹，而非单个拟合指标</x:v>
      </x:c>
      <x:c r="C6" s="4" t="str">
        <x:v>平坦RL与层级结构可能都能解释平均正确率。</x:v>
      </x:c>
      <x:c r="D6" s="4" t="str">
        <x:v>同时检查迁移、选择偏好和非对称切换代价。</x:v>
      </x:c>
      <x:c r="E6" s="4" t="str">
        <x:v>要求候选机制联合复现多种特征，缩小行为等价性。</x:v>
      </x:c>
      <x:c r="F6" s="4" t="str">
        <x:v>预先列出机制应同时解释的关键现象，避免逐个效应各配一个解释。</x:v>
      </x:c>
      <x:c r="G6" s="4" t="str">
        <x:v>联合解释更有诊断力，但仍取决于比较模型的合理性。</x:v>
      </x:c>
      <x:c r="H6" s="4" t="str">
        <x:v>https://pubmed.ncbi.nlm.nih.gov/33229518/</x:v>
      </x:c>
    </x:row>
    <x:row r="7" ht="114" customHeight="1">
      <x:c r="A7" s="4" t="str">
        <x:v>A08</x:v>
      </x:c>
      <x:c r="B7" s="4" t="str">
        <x:v>同一机制的优势与代价</x:v>
      </x:c>
      <x:c r="C7" s="4" t="str">
        <x:v>把人简单排成好学习者/差学习者，可能遮蔽策略权衡。</x:v>
      </x:c>
      <x:c r="D7" s="4" t="str">
        <x:v>比较旧任务—新任务—旧任务中的迁移与干扰，以及未训练条件表现。</x:v>
      </x:c>
      <x:c r="E7" s="4" t="str">
        <x:v>共享表征可以同时产生更好的迁移和更大的干扰。</x:v>
      </x:c>
      <x:c r="F7" s="4" t="str">
        <x:v>把两个方向相反的结果写成同一机制的必要后果，而非一正一负两段讨论。</x:v>
      </x:c>
      <x:c r="G7" s="4" t="str">
        <x:v>任务内差异不等于稳定认知风格；参数与行为关系需避免循环定义。</x:v>
      </x:c>
      <x:c r="H7" s="4" t="str">
        <x:v>https://www.nature.com/articles/s41562-025-02318-y</x:v>
      </x:c>
    </x:row>
    <x:row r="8" ht="114" customHeight="1">
      <x:c r="A8" s="4" t="str">
        <x:v>A09</x:v>
      </x:c>
      <x:c r="B8" s="4" t="str">
        <x:v>机制生成新训练预测</x:v>
      </x:c>
      <x:c r="C8" s="4" t="str">
        <x:v>已有结果显示分步学习有利，但这不是最终解释。</x:v>
      </x:c>
      <x:c r="D8" s="4" t="str">
        <x:v>在不同课程安排中区分独立/边际更新与联合信用分配，再检验模型导出的新课程。</x:v>
      </x:c>
      <x:c r="E8" s="4" t="str">
        <x:v>模型解释已有效应，并预测此前未测试的训练安排何时有益。</x:v>
      </x:c>
      <x:c r="F8" s="4" t="str">
        <x:v>让模型出现在论文中段并推动后续实验，而不只是最后附加一个拟合。</x:v>
      </x:c>
      <x:c r="G8" s="4" t="str">
        <x:v>新条件应尽量独立于模型选择；不要把事后条件解释称为预先预测。</x:v>
      </x:c>
      <x:c r="H8" s="4" t="str">
        <x:v>https://www.nature.com/articles/s41562-026-02452-1</x:v>
      </x:c>
    </x:row>
    <x:row r="9" ht="114" customHeight="1">
      <x:c r="A9" s="4" t="str">
        <x:v>C01</x:v>
      </x:c>
      <x:c r="B9" s="4" t="str">
        <x:v>表面偏差的真正调节变量</x:v>
      </x:c>
      <x:c r="C9" s="4" t="str">
        <x:v>把学习不对称直接称为乐观或负面偏差。</x:v>
      </x:c>
      <x:c r="D9" s="4" t="str">
        <x:v>自由选择与被迫选择等条件改变反馈学习的结构。</x:v>
      </x:c>
      <x:c r="E9" s="4" t="str">
        <x:v>不同学习率的模式帮助区分结果效价与选择确认的解释。</x:v>
      </x:c>
      <x:c r="F9" s="4" t="str">
        <x:v>寻找能让同一反馈产生不同效应的调节因素，使现象获得机制含义。</x:v>
      </x:c>
      <x:c r="G9" s="4" t="str">
        <x:v>不要将任务内的确认式更新直接称为普遍人格特征。</x:v>
      </x:c>
      <x:c r="H9" s="4" t="str">
        <x:v>https://www.nature.com/articles/s41562-020-0919-5</x:v>
      </x:c>
    </x:row>
    <x:row r="10" ht="114" customHeight="1">
      <x:c r="A10" s="4" t="str">
        <x:v>C02</x:v>
      </x:c>
      <x:c r="B10" s="4" t="str">
        <x:v>局部适应造成跨情境失误</x:v>
      </x:c>
      <x:c r="C10" s="4" t="str">
        <x:v>情境依赖有时提高学习、有时扭曲选择。</x:v>
      </x:c>
      <x:c r="D10" s="4" t="str">
        <x:v>同时观察情境内学习和跨情境迁移，而不只统计总体收益。</x:v>
      </x:c>
      <x:c r="E10" s="4" t="str">
        <x:v>奖励范围归一化连接益处与代价。</x:v>
      </x:c>
      <x:c r="F10" s="4" t="str">
        <x:v>让反直觉结果成为适应性计算的可预测副作用，而不是笼统说认知有偏。</x:v>
      </x:c>
      <x:c r="G10" s="4" t="str">
        <x:v>必须明确在哪类环境、哪个评价标准下称为‘适应’。</x:v>
      </x:c>
      <x:c r="H10" s="4" t="str">
        <x:v>https://pubmed.ncbi.nlm.nih.gov/33811071/</x:v>
      </x:c>
    </x:row>
    <x:row r="11" ht="114" customHeight="1">
      <x:c r="A11" s="4" t="str">
        <x:v>C03</x:v>
      </x:c>
      <x:c r="B11" s="4" t="str">
        <x:v>信息来源改变共同价值比较</x:v>
      </x:c>
      <x:c r="C11" s="4" t="str">
        <x:v>经验与符号信息应当能够转换到共同价值尺度。</x:v>
      </x:c>
      <x:c r="D11" s="4" t="str">
        <x:v>把两种来源放在同一次选择内，用多项实验检验经验价值被低估。</x:v>
      </x:c>
      <x:c r="E11" s="4" t="str">
        <x:v>量化来源依赖的价值转换，而非只报告两条件均值不同。</x:v>
      </x:c>
      <x:c r="F11" s="4" t="str">
        <x:v>将熟悉对象放入此前少被研究的组合条件，暴露隐含理论假设。</x:v>
      </x:c>
      <x:c r="G11" s="4" t="str">
        <x:v>观察到来源不对称不等于完全不存在共同价值编码。</x:v>
      </x:c>
      <x:c r="H11" s="4" t="str">
        <x:v>https://www.nature.com/articles/s41562-022-01496-3</x:v>
      </x:c>
    </x:row>
    <x:row r="12" ht="114" customHeight="1">
      <x:c r="A12" s="4" t="str">
        <x:v>C04 / C07</x:v>
      </x:c>
      <x:c r="B12" s="4" t="str">
        <x:v>任务表现不是过程纯指标</x:v>
      </x:c>
      <x:c r="C12" s="4" t="str">
        <x:v>奖励学习差就被解释为强化学习机制差。</x:v>
      </x:c>
      <x:c r="D12" s="4" t="str">
        <x:v>利用工作记忆需求、延迟或替代过程模型重分解表现。</x:v>
      </x:c>
      <x:c r="E12" s="4" t="str">
        <x:v>快慢过程/工作记忆衰减可解释部分表面学习差异。</x:v>
      </x:c>
      <x:c r="F12" s="4" t="str">
        <x:v>区分‘现象发生在哪种任务’与‘究竟哪种过程发生变化’。</x:v>
      </x:c>
      <x:c r="G12" s="4" t="str">
        <x:v>替代模型成功不等于标准RL在所有任务中失效。</x:v>
      </x:c>
      <x:c r="H12" s="4" t="str">
        <x:v>https://www.nature.com/articles/s41562-025-02340-0 ; https://pmc.ncbi.nlm.nih.gov/articles/PMC10174689/</x:v>
      </x:c>
    </x:row>
    <x:row r="13" ht="114" customHeight="1">
      <x:c r="A13" s="4" t="str">
        <x:v>D02</x:v>
      </x:c>
      <x:c r="B13" s="4" t="str">
        <x:v>被测构念与测量混淆分离</x:v>
      </x:c>
      <x:c r="C13" s="4" t="str">
        <x:v>把一个元认知指标直接当作稳定能力。</x:v>
      </x:c>
      <x:c r="D13" s="4" t="str">
        <x:v>改变或分解反应谨慎性与决策动力学，并跨数据集复核。</x:v>
      </x:c>
      <x:c r="E13" s="4" t="str">
        <x:v>证据积累模型展示决策过程怎样污染静态元认知指标。</x:v>
      </x:c>
      <x:c r="F13" s="4" t="str">
        <x:v>从‘谁更有能力’提升为‘我们测到的究竟是什么’，但需要可诊断操纵。</x:v>
      </x:c>
      <x:c r="G13" s="4" t="str">
        <x:v>替代指标仍依赖模型，不能宣传为无假设测量。</x:v>
      </x:c>
      <x:c r="H13" s="4" t="str">
        <x:v>https://www.nature.com/articles/s41467-022-31727-0</x:v>
      </x:c>
    </x:row>
    <x:row r="14" ht="114" customHeight="1">
      <x:c r="A14" s="4" t="str">
        <x:v>E01</x:v>
      </x:c>
      <x:c r="B14" s="4" t="str">
        <x:v>多种策略，一个生成机制</x:v>
      </x:c>
      <x:c r="C14" s="4" t="str">
        <x:v>社会学习文献已有许多复制多数/复制成功者策略。</x:v>
      </x:c>
      <x:c r="D14" s="4" t="str">
        <x:v>操纵社会特征与奖励的对应关系，让策略可形成、改变或转移。</x:v>
      </x:c>
      <x:c r="E14" s="4" t="str">
        <x:v>特征奖励学习统一解释多种表面策略。</x:v>
      </x:c>
      <x:c r="F14" s="4" t="str">
        <x:v>贡献不一定是再命名一种策略，也可以解释已有策略为何出现。</x:v>
      </x:c>
      <x:c r="G14" s="4" t="str">
        <x:v>统一框架需要跨情境约束，不能只是为每种策略设置独立自由参数。</x:v>
      </x:c>
      <x:c r="H14" s="4" t="str">
        <x:v>https://www.nature.com/articles/s41562-025-02269-4</x:v>
      </x:c>
    </x:row>
    <x:row r="15" ht="114" customHeight="1">
      <x:c r="A15" s="4" t="str">
        <x:v>E04</x:v>
      </x:c>
      <x:c r="B15" s="4" t="str">
        <x:v>个体合理与集体低效的冲突</x:v>
      </x:c>
      <x:c r="C15" s="4" t="str">
        <x:v>社会信息帮助个体，为什么群体仍会过度依赖？</x:v>
      </x:c>
      <x:c r="D15" s="4" t="str">
        <x:v>资源结构与个人/集体激励共同操纵，记录连续社会行为。</x:v>
      </x:c>
      <x:c r="E15" s="4" t="str">
        <x:v>行为状态模型连接个人跟随行为与群体探索结果。</x:v>
      </x:c>
      <x:c r="F15" s="4" t="str">
        <x:v>把问题放到两个分析层级，设计能改变层级冲突的干预。</x:v>
      </x:c>
      <x:c r="G15" s="4" t="str">
        <x:v>要明确群体表现的定义，不把个人奖励最大化直接判为认知缺陷。</x:v>
      </x:c>
      <x:c r="H15" s="4" t="str">
        <x:v>https://www.nature.com/articles/s41467-024-47010-3</x:v>
      </x:c>
    </x:row>
    <x:row r="16" ht="114" customHeight="1">
      <x:c r="A16" s="4" t="str">
        <x:v>F05</x:v>
      </x:c>
      <x:c r="B16" s="4" t="str">
        <x:v>黑箱发现必须回到可解释原则</x:v>
      </x:c>
      <x:c r="C16" s="4" t="str">
        <x:v>标准信息价值公式可能过于受限，灵活ANN又不便解释。</x:v>
      </x:c>
      <x:c r="D16" s="4" t="str">
        <x:v>先拟合信息采样，再抽取四参数公式，检验独立数据泛化和神经对应。</x:v>
      </x:c>
      <x:c r="E16" s="4" t="str">
        <x:v>从相对信息量中提炼信息对称性原则；恢复和外推约束模型发现。</x:v>
      </x:c>
      <x:c r="F16" s="4" t="str">
        <x:v>完整顺序是发现规律→压缩成原则→独立检验，而非停在拟合优胜。</x:v>
      </x:c>
      <x:c r="G16" s="4" t="str">
        <x:v>神经相关不是因果证明；四参数是子函数而非整套模型。</x:v>
      </x:c>
      <x:c r="H16" s="4" t="str">
        <x:v>https://www.nature.com/articles/s41593-026-02342-9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847f16948e145b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00" hidden="0" customWidth="1"/>
  </x:cols>
  <x:sheetData>
    <x:row r="1" ht="30" customHeight="1">
      <x:c r="A1" s="33" t="str">
        <x:v>维度</x:v>
      </x:c>
      <x:c r="B1" s="33" t="str">
        <x:v>具体口径与限制</x:v>
      </x:c>
    </x:row>
    <x:row r="2" ht="64" customHeight="1">
      <x:c r="A2" s="28" t="str">
        <x:v>目标</x:v>
      </x:c>
      <x:c r="B2" s="28" t="str">
        <x:v>广泛覆盖人类学习、表征、规划、决策、记忆、元认知、社会学习等认知实验与计算建模，提炼可迁移的论文论证结构。</x:v>
      </x:c>
    </x:row>
    <x:row r="3" ht="64" customHeight="1">
      <x:c r="A3" s="28" t="str">
        <x:v>时间</x:v>
      </x:c>
      <x:c r="B3" s="28" t="str">
        <x:v>2020-01-01至2026-09-15；优先记录在线正式发表年份，同时注明跨年度卷期；2020年前研究单列。</x:v>
      </x:c>
    </x:row>
    <x:row r="4" ht="64" customHeight="1">
      <x:c r="A4" s="28" t="str">
        <x:v>主要期刊</x:v>
      </x:c>
      <x:c r="B4" s="28" t="str">
        <x:v>Nature；Science；Nature Human Behaviour；Nature Communications；PNAS；Nature Computational Science；Nature Machine Intelligence；Nature Neuroscience；Neuron；Science Advances；eLife。</x:v>
      </x:c>
    </x:row>
    <x:row r="5" ht="64" customHeight="1">
      <x:c r="A5" s="28" t="str">
        <x:v>补充期刊</x:v>
      </x:c>
      <x:c r="B5" s="28" t="str">
        <x:v>Psychological Science；Journal of Experimental Psychology: General；Cognition。</x:v>
      </x:c>
    </x:row>
    <x:row r="6" ht="64" customHeight="1">
      <x:c r="A6" s="28" t="str">
        <x:v>检索途径</x:v>
      </x:c>
      <x:c r="B6" s="28" t="str">
        <x:v>期刊官网、PubMed/PMC、作者机构或实验室公开论文目录；期刊×主题交叉检索，并沿相关论文追踪引用及正式出版版本。</x:v>
      </x:c>
    </x:row>
    <x:row r="7" ht="64" customHeight="1">
      <x:c r="A7" s="28" t="str">
        <x:v>主要关键词族</x:v>
      </x:c>
      <x:c r="B7" s="28" t="str">
        <x:v>human learning strategy / cognitive style / reinforcement learning / structure learning / representation / generalization / planning / exploration / metacognition / social learning / computational model / neural network / memory。</x:v>
      </x:c>
    </x:row>
    <x:row r="8" ht="64" customHeight="1">
      <x:c r="A8" s="28" t="str">
        <x:v>纳入原则</x:v>
      </x:c>
      <x:c r="B8" s="28" t="str">
        <x:v>有人类行为证据，并以认知过程、潜在表征、策略机制或行为预测为主要目标；允许神经数据、跨物种比较及已标记的数据再分析。</x:v>
      </x:c>
    </x:row>
    <x:row r="9" ht="64" customHeight="1">
      <x:c r="A9" s="28" t="str">
        <x:v>新旧数据区分</x:v>
      </x:c>
      <x:c r="B9" s="28" t="str">
        <x:v>B=新行为研究；N=含人类神经数据；R=既有数据再分析/比较；M=新旧数据混合；O=自然行为观察建模。标签不是质量评分。</x:v>
      </x:c>
    </x:row>
    <x:row r="10" ht="64" customHeight="1">
      <x:c r="A10" s="28" t="str">
        <x:v>边界参考</x:v>
      </x:c>
      <x:c r="B10" s="28" t="str">
        <x:v>S08以实验和反应映射检验为主，不是完整学习机制模型；B07为自然游戏行为建模，不应当作干预型认知实验。</x:v>
      </x:c>
    </x:row>
    <x:row r="11" ht="64" customHeight="1">
      <x:c r="A11" s="28" t="str">
        <x:v>模型角色</x:v>
      </x:c>
      <x:c r="B11" s="28" t="str">
        <x:v>区分描述/预测、竞争机制比较、生成性解释、资源理性规范解释、数据驱动理论发现；模型形式相似不表示论证作用相同。</x:v>
      </x:c>
    </x:row>
    <x:row r="12" ht="64" customHeight="1">
      <x:c r="A12" s="28" t="str">
        <x:v>核实深度</x:v>
      </x:c>
      <x:c r="B12" s="28" t="str">
        <x:v>各行单独记录已读取摘要、正文相关部分、方法或版本信息的范围；没有宣称所有全文与补充材料逐项精读。</x:v>
      </x:c>
    </x:row>
    <x:row r="13" ht="64" customHeight="1">
      <x:c r="A13" s="28" t="str">
        <x:v>样本量</x:v>
      </x:c>
      <x:c r="B13" s="28" t="str">
        <x:v>只填写能够核实的范围；总样本、单实验样本、成像样本与旧数据汇编明确区分。未逐实验核对处不估计、不补造。</x:v>
      </x:c>
    </x:row>
    <x:row r="14" ht="64" customHeight="1">
      <x:c r="A14" s="28" t="str">
        <x:v>覆盖限制</x:v>
      </x:c>
      <x:c r="B14" s="28" t="str">
        <x:v>这是结构化范围检索和重点叙事地图，不是数据库完整导出、去重及双人筛选的系统综述；51篇并非该范围全部发表量。</x:v>
      </x:c>
    </x:row>
    <x:row r="15" ht="64" customHeight="1">
      <x:c r="A15" s="28" t="str">
        <x:v>结论限制</x:v>
      </x:c>
      <x:c r="B15" s="28" t="str">
        <x:v>模型胜出只相对于候选模型；拟合优势不等于机制唯一；神经相关不等于因果；个体差异不自动等于稳定特质。</x:v>
      </x:c>
    </x:row>
    <x:row r="16" ht="64" customHeight="1">
      <x:c r="A16" s="28" t="str">
        <x:v>阅读方式</x:v>
      </x:c>
      <x:c r="B16" s="28" t="str">
        <x:v>先按故事逻辑列筛选；优先读实验与模型如何区分替代解释，再读摘要和讨论的理论提升。</x:v>
      </x:c>
    </x:row>
    <x:row r="17" ht="64" customHeight="1">
      <x:c r="A17" s="28" t="str">
        <x:v>表格维护</x:v>
      </x:c>
      <x:c r="B17" s="28" t="str">
        <x:v>阅读状态列有下拉选项。文献编号在聊天正文、主要期刊、补充期刊和故事拆解中一致；每行提供DOI及原始来源网址。</x:v>
      </x:c>
    </x:row>
  </x:sheetData>
  <x:pageMargins left="0.7" right="0.7" top="0.75" bottom="0.75" header="0.3" footer="0.3"/>
</x:worksheet>
</file>